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arsh\Downloads\"/>
    </mc:Choice>
  </mc:AlternateContent>
  <xr:revisionPtr revIDLastSave="0" documentId="13_ncr:1_{F85D6579-785D-45A8-9BFF-293E3C297241}" xr6:coauthVersionLast="47" xr6:coauthVersionMax="47" xr10:uidLastSave="{00000000-0000-0000-0000-000000000000}"/>
  <bookViews>
    <workbookView xWindow="-108" yWindow="-108" windowWidth="23256" windowHeight="12456" activeTab="2" xr2:uid="{AD05AFD6-CB75-41D1-9B6A-E01C6ADCB238}"/>
  </bookViews>
  <sheets>
    <sheet name="Sheet3" sheetId="4" r:id="rId1"/>
    <sheet name="users (1)" sheetId="1" r:id="rId2"/>
    <sheet name="Sheet1" sheetId="2" r:id="rId3"/>
    <sheet name="Sheet2" sheetId="3" r:id="rId4"/>
  </sheets>
  <definedNames>
    <definedName name="_xlnm._FilterDatabase" localSheetId="2" hidden="1">Sheet1!$A$1:$C$436</definedName>
    <definedName name="_xlnm._FilterDatabase" localSheetId="1" hidden="1">'users (1)'!$A$1:$L$602</definedName>
  </definedNames>
  <calcPr calcId="191029"/>
  <pivotCaches>
    <pivotCache cacheId="3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" l="1"/>
  <c r="P12" i="1"/>
  <c r="R9" i="1"/>
  <c r="P9" i="1"/>
  <c r="R7" i="1"/>
  <c r="R6" i="1"/>
  <c r="P7" i="1"/>
  <c r="P6" i="1"/>
  <c r="U2" i="1"/>
  <c r="P2" i="1"/>
  <c r="R4" i="1"/>
  <c r="S2" i="1"/>
  <c r="Q2" i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2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R2" i="1" l="1"/>
  <c r="T2" i="1"/>
</calcChain>
</file>

<file path=xl/sharedStrings.xml><?xml version="1.0" encoding="utf-8"?>
<sst xmlns="http://schemas.openxmlformats.org/spreadsheetml/2006/main" count="3970" uniqueCount="2909">
  <si>
    <t>login</t>
  </si>
  <si>
    <t>name</t>
  </si>
  <si>
    <t>company</t>
  </si>
  <si>
    <t>location</t>
  </si>
  <si>
    <t>email</t>
  </si>
  <si>
    <t>hireable</t>
  </si>
  <si>
    <t>bio</t>
  </si>
  <si>
    <t>public_repos</t>
  </si>
  <si>
    <t>followers</t>
  </si>
  <si>
    <t>following</t>
  </si>
  <si>
    <t>created_at</t>
  </si>
  <si>
    <t>tiangolo</t>
  </si>
  <si>
    <t>SebastiÃ¡n RamÃ­rez</t>
  </si>
  <si>
    <t>Berlin, Germany</t>
  </si>
  <si>
    <t>tiangolo@gmail.com</t>
  </si>
  <si>
    <t>Creator of FastAPI, Typer, SQLModel, Asyncer, etc. ðŸš€_x000D_
From ðŸ‡¨ðŸ‡´ in ðŸ‡©ðŸ‡ª. _x000D_
Open Source, APIs, and tools for data/ML. ðŸ¤– Python, TypeScript, Docker, etc.</t>
  </si>
  <si>
    <t>2012-01-12T22:37:04Z</t>
  </si>
  <si>
    <t>schacon</t>
  </si>
  <si>
    <t>Scott Chacon</t>
  </si>
  <si>
    <t>GITBUTLERAPP</t>
  </si>
  <si>
    <t>schacon@gmail.com</t>
  </si>
  <si>
    <t>2008-01-27T17:19:28Z</t>
  </si>
  <si>
    <t>rwieruch</t>
  </si>
  <si>
    <t>Robin Wieruch</t>
  </si>
  <si>
    <t>Berlin/Remote</t>
  </si>
  <si>
    <t>React &amp; Next.js â€¢ JavaScript &amp; TypeScript â€¢ Freelance Full-Stack Web Developer â€¢ Technical Co-Founder â€¢ Father of 2 â€¢ multiple-time GitHub Star</t>
  </si>
  <si>
    <t>2012-10-03T15:11:48Z</t>
  </si>
  <si>
    <t>shuding</t>
  </si>
  <si>
    <t>Shu Ding</t>
  </si>
  <si>
    <t>VERCEL</t>
  </si>
  <si>
    <t>Berlin</t>
  </si>
  <si>
    <t>g@shud.in</t>
  </si>
  <si>
    <t>Be curious. Read widely. Try new things. â€” aaronsw</t>
  </si>
  <si>
    <t>2013-02-23T07:46:30Z</t>
  </si>
  <si>
    <t>android10</t>
  </si>
  <si>
    <t>Fernando Cejas</t>
  </si>
  <si>
    <t>PEPPR-IO</t>
  </si>
  <si>
    <t>android10@fernandocejas.com</t>
  </si>
  <si>
    <t>Quantum Engineering at @Qruise-ai. Former Director at @wireapp. Former @soundcloud Core Engineering. Ex @IBM. Curious learner. Geek. OPEN SOURCE Advocate.</t>
  </si>
  <si>
    <t>2012-01-20T21:35:31Z</t>
  </si>
  <si>
    <t>marijnh</t>
  </si>
  <si>
    <t>Marijn Haverbeke</t>
  </si>
  <si>
    <t>NOT INTERESTED IN RECRUITER MAIL</t>
  </si>
  <si>
    <t>marijn@haverbeke.berlin</t>
  </si>
  <si>
    <t>Independent open-source programmer person</t>
  </si>
  <si>
    <t>2009-10-25T14:34:39Z</t>
  </si>
  <si>
    <t>mxmnk</t>
  </si>
  <si>
    <t>Jerzy</t>
  </si>
  <si>
    <t>â­ï¸ Passionate Full-Stack Developer â­ï¸</t>
  </si>
  <si>
    <t>2018-12-20T17:27:13Z</t>
  </si>
  <si>
    <t>nikic</t>
  </si>
  <si>
    <t>Nikita Popov</t>
  </si>
  <si>
    <t>RED HAT</t>
  </si>
  <si>
    <t>github@npopov.com</t>
  </si>
  <si>
    <t>2010-03-04T21:22:25Z</t>
  </si>
  <si>
    <t>greenrobot</t>
  </si>
  <si>
    <t>Markus Junginger</t>
  </si>
  <si>
    <t>OBJECTBOX</t>
  </si>
  <si>
    <t>CTO and co-founder at objectbox.io, creator of EventBus and greenDAO.</t>
  </si>
  <si>
    <t>2010-04-12T14:18:19Z</t>
  </si>
  <si>
    <t>sebastianruder</t>
  </si>
  <si>
    <t>Sebastian Ruder</t>
  </si>
  <si>
    <t>GOOGLE</t>
  </si>
  <si>
    <t>sebastian@ruder.io</t>
  </si>
  <si>
    <t>Research Scientist @Google</t>
  </si>
  <si>
    <t>2014-02-26T10:36:21Z</t>
  </si>
  <si>
    <t>vakila</t>
  </si>
  <si>
    <t>Anjana Vakil</t>
  </si>
  <si>
    <t>San Francisco | Berlin</t>
  </si>
  <si>
    <t>contact@anjana.dev</t>
  </si>
  <si>
    <t>Independent Developer Educator &amp; Software Engineer</t>
  </si>
  <si>
    <t>2013-09-10T07:10:50Z</t>
  </si>
  <si>
    <t>tonsky</t>
  </si>
  <si>
    <t>Nikita Prokopov</t>
  </si>
  <si>
    <t>niki@tonsky.me</t>
  </si>
  <si>
    <t>2010-05-24T05:43:30Z</t>
  </si>
  <si>
    <t>felixge</t>
  </si>
  <si>
    <t>Felix GeisendÃ¶rfer</t>
  </si>
  <si>
    <t>DATADOG</t>
  </si>
  <si>
    <t>2008-06-25T14:24:37Z</t>
  </si>
  <si>
    <t>alexeygrigorev</t>
  </si>
  <si>
    <t>Alexey Grigorev</t>
  </si>
  <si>
    <t>DATATALKSCLUB</t>
  </si>
  <si>
    <t>Running @DataTalksClub and hacking some personal projects</t>
  </si>
  <si>
    <t>2011-06-25T13:16:52Z</t>
  </si>
  <si>
    <t>hanxiao</t>
  </si>
  <si>
    <t>Han Xiao</t>
  </si>
  <si>
    <t>JINA-AI</t>
  </si>
  <si>
    <t>han.xiao@jina.ai</t>
  </si>
  <si>
    <t>CEO @jina-ai</t>
  </si>
  <si>
    <t>2012-07-25T15:52:49Z</t>
  </si>
  <si>
    <t>ines</t>
  </si>
  <si>
    <t>Ines Montani</t>
  </si>
  <si>
    <t>FOUNDER @EXPLOSION</t>
  </si>
  <si>
    <t>ines@ines.io</t>
  </si>
  <si>
    <t>Digital native and software developer working on AI, Machine Learning &amp; NLP. Founder @explosion, developing spaCy &amp; Prodigy._x000D_
_x000D_
(Portrait: Sarah Andersen)</t>
  </si>
  <si>
    <t>2015-08-04T13:15:33Z</t>
  </si>
  <si>
    <t>apaszke</t>
  </si>
  <si>
    <t>Adam Paszke</t>
  </si>
  <si>
    <t>adam.paszke@gmail.com</t>
  </si>
  <si>
    <t>Author of PyTorch. Research Scientist @ Google.</t>
  </si>
  <si>
    <t>2013-05-31T20:51:12Z</t>
  </si>
  <si>
    <t>lewagon</t>
  </si>
  <si>
    <t>Le Wagon</t>
  </si>
  <si>
    <t>Paris, London, Berlin &amp; more</t>
  </si>
  <si>
    <t>contact@lewagon.com</t>
  </si>
  <si>
    <t>Coding School bringing Technical Skills to Creative People</t>
  </si>
  <si>
    <t>2013-09-16T13:20:52Z</t>
  </si>
  <si>
    <t>codebytere</t>
  </si>
  <si>
    <t>Shelley Vohr</t>
  </si>
  <si>
    <t>MICROSOFT</t>
  </si>
  <si>
    <t>shelley.vohr@gmail.com</t>
  </si>
  <si>
    <t>core eng @electron. collaborator @nodejs. organizer @queerjs ðŸ³ï¸â€ðŸŒˆ. misc @tc39 @openjs-foundation. way too online. often caffeinated. cruciverbalist.</t>
  </si>
  <si>
    <t>2012-07-24T19:05:37Z</t>
  </si>
  <si>
    <t>prisma</t>
  </si>
  <si>
    <t>Prisma</t>
  </si>
  <si>
    <t>Berlin &amp; Worldwide</t>
  </si>
  <si>
    <t>hello@prisma.io</t>
  </si>
  <si>
    <t>Prisma makes working with databases easy</t>
  </si>
  <si>
    <t>2016-02-13T15:22:35Z</t>
  </si>
  <si>
    <t>armancodv</t>
  </si>
  <si>
    <t>Arman Kolahan</t>
  </si>
  <si>
    <t>UNITE</t>
  </si>
  <si>
    <t>akolahan@gmail.com</t>
  </si>
  <si>
    <t>Lead Frontend Engineer proficient in TypeScript/React, PhD graduate, writer, with expertise in various programming languages.</t>
  </si>
  <si>
    <t>2014-10-23T07:22:44Z</t>
  </si>
  <si>
    <t>peterbourgon</t>
  </si>
  <si>
    <t>Peter Bourgon</t>
  </si>
  <si>
    <t>The official GitHub account of Dwayne 'The Rock' Johnson</t>
  </si>
  <si>
    <t>2009-08-12T09:58:25Z</t>
  </si>
  <si>
    <t>vanhauser-thc</t>
  </si>
  <si>
    <t>van Hauser</t>
  </si>
  <si>
    <t>THE HACKER'S CHOICE | MH-SEC | ME | MYSELF</t>
  </si>
  <si>
    <t>vh@thc.org</t>
  </si>
  <si>
    <t>Security researcher since 1994_x000D_
_x000D_
https://www.mh-sec.de/_x000D_
https://www.thc.org/</t>
  </si>
  <si>
    <t>2014-04-24T14:44:32Z</t>
  </si>
  <si>
    <t>KittyGiraudel</t>
  </si>
  <si>
    <t>Kitty Giraudel</t>
  </si>
  <si>
    <t>COFENSTER</t>
  </si>
  <si>
    <t>Non-binary trans accessibility &amp; diversity advocate, frontend developer, author. Real life cat.</t>
  </si>
  <si>
    <t>2012-06-25T13:22:16Z</t>
  </si>
  <si>
    <t>dashersw</t>
  </si>
  <si>
    <t>Armagan Amcalar</t>
  </si>
  <si>
    <t>COYOTIV</t>
  </si>
  <si>
    <t>armagan@amcalar.com</t>
  </si>
  <si>
    <t>Software architect, leader, lecturer, public speaker, mentor, entrepreneur, JS evangelist, electronics engineer, guitarist, singer, radio host.</t>
  </si>
  <si>
    <t>2011-03-29T23:27:54Z</t>
  </si>
  <si>
    <t>codepo8</t>
  </si>
  <si>
    <t>Christian Heilmann</t>
  </si>
  <si>
    <t>chris.heilmann@gmail.com</t>
  </si>
  <si>
    <t>Engineer who worked for Microsoft/Mozilla/Yahoo on browsers, developer tools and anything JavaScript related. AI/ML enthusiast, writer and trainer.</t>
  </si>
  <si>
    <t>2008-06-12T17:50:08Z</t>
  </si>
  <si>
    <t>nlohmann</t>
  </si>
  <si>
    <t>Niels Lohmann</t>
  </si>
  <si>
    <t>mail@nlohmann.me</t>
  </si>
  <si>
    <t>You may know me from my JSON library for C++.</t>
  </si>
  <si>
    <t>2009-11-29T15:47:30Z</t>
  </si>
  <si>
    <t>floooh</t>
  </si>
  <si>
    <t>Andre Weissflog</t>
  </si>
  <si>
    <t>floooh@gmail.com</t>
  </si>
  <si>
    <t>2012-05-02T15:38:15Z</t>
  </si>
  <si>
    <t>cure53</t>
  </si>
  <si>
    <t>Cure53</t>
  </si>
  <si>
    <t>FINEÂ PENETRATIONÂ TESTS FORÂ FINEÂ WEBSITES</t>
  </si>
  <si>
    <t>mario@cure53.de</t>
  </si>
  <si>
    <t>And there is fire where we walk.</t>
  </si>
  <si>
    <t>2014-02-17T21:39:32Z</t>
  </si>
  <si>
    <t>nisrulz</t>
  </si>
  <si>
    <t>Nishant Srivastava</t>
  </si>
  <si>
    <t>SCOUT24</t>
  </si>
  <si>
    <t xml:space="preserve">Sr. Android Engineer ðŸ‘¨ðŸ»â€ðŸ’»  </t>
  </si>
  <si>
    <t>2012-08-04T21:46:01Z</t>
  </si>
  <si>
    <t>vietnh1009</t>
  </si>
  <si>
    <t>Viet Nguyen</t>
  </si>
  <si>
    <t>SPORTTOTAL.TV</t>
  </si>
  <si>
    <t>Senior AI engineer at Sporttotal</t>
  </si>
  <si>
    <t>2019-01-31T16:39:52Z</t>
  </si>
  <si>
    <t>pepelsbey</t>
  </si>
  <si>
    <t>Vadim Makeev</t>
  </si>
  <si>
    <t>WEB-STANDARDS-RU</t>
  </si>
  <si>
    <t>hi@pepelsbey.dev</t>
  </si>
  <si>
    <t>Frontend developer in love with the Web, browsers, bicycles, and podcasting. MDN technical writer, Google Developer Expert.</t>
  </si>
  <si>
    <t>2009-07-15T16:06:21Z</t>
  </si>
  <si>
    <t>nschloe</t>
  </si>
  <si>
    <t>Nico SchlÃ¶mer</t>
  </si>
  <si>
    <t>MONDAY TECH</t>
  </si>
  <si>
    <t>nico.schloemer@gmail.com</t>
  </si>
  <si>
    <t>Mathematics, numerical analysis, scientific computing, Python._x000D_
_x000D_
Always interested in new problems.</t>
  </si>
  <si>
    <t>2010-01-13T18:43:03Z</t>
  </si>
  <si>
    <t>spacejam</t>
  </si>
  <si>
    <t>Tyler Neely</t>
  </si>
  <si>
    <t>PINECONE</t>
  </si>
  <si>
    <t>reliable stateful systems at scale</t>
  </si>
  <si>
    <t>2012-03-06T03:52:39Z</t>
  </si>
  <si>
    <t>ligi</t>
  </si>
  <si>
    <t>ETHEREUM</t>
  </si>
  <si>
    <t>Berlin, Earth, Milkiway</t>
  </si>
  <si>
    <t>ligi@ligi.de</t>
  </si>
  <si>
    <t>2009-08-03T22:52:04Z</t>
  </si>
  <si>
    <t>justadudewhohacks</t>
  </si>
  <si>
    <t>Vincent MÃ¼hler</t>
  </si>
  <si>
    <t>muehler.v@gmail.com</t>
  </si>
  <si>
    <t>Just hacking stuff.</t>
  </si>
  <si>
    <t>2017-08-18T07:47:03Z</t>
  </si>
  <si>
    <t>anaisbetts</t>
  </si>
  <si>
    <t>Ani Betts</t>
  </si>
  <si>
    <t>ANTHROPIC</t>
  </si>
  <si>
    <t>anais@anaisbetts.org</t>
  </si>
  <si>
    <t>Margot Tenenbaum as software developer.</t>
  </si>
  <si>
    <t>2008-02-28T02:26:12Z</t>
  </si>
  <si>
    <t>typst</t>
  </si>
  <si>
    <t>Typst</t>
  </si>
  <si>
    <t>hello@typst.app</t>
  </si>
  <si>
    <t>Compose papers faster: Focus on your text and let Typst take care of layout and formatting.</t>
  </si>
  <si>
    <t>2020-06-29T15:08:38Z</t>
  </si>
  <si>
    <t>robb</t>
  </si>
  <si>
    <t>Robb BÃ¶hnke</t>
  </si>
  <si>
    <t>MOVINGPARTS-IO</t>
  </si>
  <si>
    <t>I put the UI in Ennui â€¢ currently SwiftUI @apple, formerly @movingparts-io,  @Google Research &amp; @Apple UIKit â€¢ today your love, tomorrow the world</t>
  </si>
  <si>
    <t>2010-02-28T11:23:17Z</t>
  </si>
  <si>
    <t>schickling</t>
  </si>
  <si>
    <t>Johannes Schickling</t>
  </si>
  <si>
    <t>ðŸš€ Founder of @prisma_x000D_
ðŸ’¾ Application developer _x000D_
ðŸ™Œ Cutting edge technology enthusiast</t>
  </si>
  <si>
    <t>2012-03-23T08:57:37Z</t>
  </si>
  <si>
    <t>rkh</t>
  </si>
  <si>
    <t>Konstantin Haase</t>
  </si>
  <si>
    <t>GOOD BEANS</t>
  </si>
  <si>
    <t>github@rkh.im</t>
  </si>
  <si>
    <t>2008-10-22T18:56:03Z</t>
  </si>
  <si>
    <t>withoutboats</t>
  </si>
  <si>
    <t>srrrse</t>
  </si>
  <si>
    <t>saoirse@without.boats</t>
  </si>
  <si>
    <t>In civilizations without boats, dreams dry up, espionage takes the place of adventure, and police take the place of pirates.</t>
  </si>
  <si>
    <t>2014-10-08T00:46:37Z</t>
  </si>
  <si>
    <t>honnibal</t>
  </si>
  <si>
    <t>Matthew Honnibal</t>
  </si>
  <si>
    <t>honnibal+gh@gmail.com</t>
  </si>
  <si>
    <t>Computational linguist from Sydney and Berlin. Author of the spaCy NLP library.</t>
  </si>
  <si>
    <t>2014-07-03T15:12:05Z</t>
  </si>
  <si>
    <t>Roaa94</t>
  </si>
  <si>
    <t>Roaa</t>
  </si>
  <si>
    <t>WIDGETBOOK</t>
  </si>
  <si>
    <t>roaa94khaddam@gmail.com</t>
  </si>
  <si>
    <t>Software Engineer @widgetbook _x000D_
Google Developer Expert For Flutter ðŸ’™ &amp; Dart</t>
  </si>
  <si>
    <t>2019-05-07T00:15:12Z</t>
  </si>
  <si>
    <t>janl</t>
  </si>
  <si>
    <t>Jan Lehnardt</t>
  </si>
  <si>
    <t>NEIGHBOURHOODIE SOFTWARE</t>
  </si>
  <si>
    <t>jan@apache.org</t>
  </si>
  <si>
    <t>Makes @couchdb &amp; #offlinefirst. Made @jsconfeu @greenkeeperio @hoodiehq. CEO at @neighbourh00die. Dissatisfied with the status-quo.</t>
  </si>
  <si>
    <t>2008-05-23T16:58:22Z</t>
  </si>
  <si>
    <t>frozeman</t>
  </si>
  <si>
    <t>Fabian Vogelsteller</t>
  </si>
  <si>
    <t>LUKSO</t>
  </si>
  <si>
    <t>fabian@lukso.network</t>
  </si>
  <si>
    <t>LUKSO Founder,_x000D_
Ethereum developer, creator of the Mist browser, web3.js and ERC20. Author of a Meteor.js book and creator of the feindura - flat file CMS</t>
  </si>
  <si>
    <t>2010-03-29T15:09:24Z</t>
  </si>
  <si>
    <t>z3tt</t>
  </si>
  <si>
    <t>CÃ©dric Scherer</t>
  </si>
  <si>
    <t>INDEPENDENT CONTRACTOR</t>
  </si>
  <si>
    <t>Consultant, developer, and instructor for data workflows, analysis, visualization &amp; communication.</t>
  </si>
  <si>
    <t>2014-05-08T12:55:38Z</t>
  </si>
  <si>
    <t>vas3k</t>
  </si>
  <si>
    <t>Vasily Zubarev</t>
  </si>
  <si>
    <t>ANYPROTO</t>
  </si>
  <si>
    <t>me@vas3k.ru</t>
  </si>
  <si>
    <t>Â¯\_(ãƒ„)_/Â¯</t>
  </si>
  <si>
    <t>2010-01-04T20:30:30Z</t>
  </si>
  <si>
    <t>leo</t>
  </si>
  <si>
    <t>Leo Lamprecht</t>
  </si>
  <si>
    <t>RONIN-CO</t>
  </si>
  <si>
    <t>leo@ronin.co</t>
  </si>
  <si>
    <t>2013-12-12T14:49:29Z</t>
  </si>
  <si>
    <t>mttkay</t>
  </si>
  <si>
    <t>Matthias KÃ¤ppler</t>
  </si>
  <si>
    <t>GITLAB</t>
  </si>
  <si>
    <t>2009-07-08T08:48:36Z</t>
  </si>
  <si>
    <t>tomaka</t>
  </si>
  <si>
    <t>Pierre Krieger</t>
  </si>
  <si>
    <t>FREELANCE</t>
  </si>
  <si>
    <t>pierre.krieger1708@gmail.com</t>
  </si>
  <si>
    <t>2012-02-06T10:55:41Z</t>
  </si>
  <si>
    <t>johnkil</t>
  </si>
  <si>
    <t>Evgenii Shishkin</t>
  </si>
  <si>
    <t>EX. AVIASALES</t>
  </si>
  <si>
    <t>shishkin.e3@gmail.com</t>
  </si>
  <si>
    <t>Senior Android Developer</t>
  </si>
  <si>
    <t>2011-07-19T18:50:39Z</t>
  </si>
  <si>
    <t>mxschmitt</t>
  </si>
  <si>
    <t>Max Schmitt</t>
  </si>
  <si>
    <t>Germany, Berlin</t>
  </si>
  <si>
    <t>max@schmitt.mx</t>
  </si>
  <si>
    <t>Open Source enthusiast, security researcher and full stack web developer.</t>
  </si>
  <si>
    <t>2016-03-21T13:44:27Z</t>
  </si>
  <si>
    <t>smakosh</t>
  </si>
  <si>
    <t xml:space="preserve">Ismail Ghallou </t>
  </si>
  <si>
    <t>ismai23l@hotmail.com</t>
  </si>
  <si>
    <t>Senior frontend developer</t>
  </si>
  <si>
    <t>2016-06-22T05:39:44Z</t>
  </si>
  <si>
    <t>poettering</t>
  </si>
  <si>
    <t>Lennart Poettering</t>
  </si>
  <si>
    <t>lennart@poettering.net</t>
  </si>
  <si>
    <t>2012-08-10T16:01:29Z</t>
  </si>
  <si>
    <t>hynek</t>
  </si>
  <si>
    <t>Hynek Schlawack</t>
  </si>
  <si>
    <t>VARIOMEDIA AG</t>
  </si>
  <si>
    <t>hs@ox.cx</t>
  </si>
  <si>
    <t>2008-12-18T12:10:53Z</t>
  </si>
  <si>
    <t>TejasQ</t>
  </si>
  <si>
    <t>Tejas Kumar</t>
  </si>
  <si>
    <t>Berlin, DE</t>
  </si>
  <si>
    <t>tejas@tejas.qa</t>
  </si>
  <si>
    <t>I write code and love life.</t>
  </si>
  <si>
    <t>2014-11-25T13:12:53Z</t>
  </si>
  <si>
    <t>AmruthPillai</t>
  </si>
  <si>
    <t>Amruth Pillai</t>
  </si>
  <si>
    <t>ELARADIGITAL</t>
  </si>
  <si>
    <t>im.amruth@gmail.com</t>
  </si>
  <si>
    <t>Juggling work, life and OSS ðŸ¤¹</t>
  </si>
  <si>
    <t>2011-10-18T02:10:26Z</t>
  </si>
  <si>
    <t>chriseth</t>
  </si>
  <si>
    <t>2014-10-08T08:53:36Z</t>
  </si>
  <si>
    <t>roji</t>
  </si>
  <si>
    <t>Shay Rojansky</t>
  </si>
  <si>
    <t>roji@roji.org</t>
  </si>
  <si>
    <t>Principal software engineer working on .NET data access and perf, member of the Entity Framework team at Microsoft. Lead dev of Npgsql, the PostgreSQL provider.</t>
  </si>
  <si>
    <t>2012-06-18T13:23:09Z</t>
  </si>
  <si>
    <t>justinmk</t>
  </si>
  <si>
    <t>Justin M. Keyes</t>
  </si>
  <si>
    <t>"People are afraid to merge." _x000D_
- Less Than Zero</t>
  </si>
  <si>
    <t>2012-01-20T17:37:03Z</t>
  </si>
  <si>
    <t>brianamarie</t>
  </si>
  <si>
    <t>Briana Swift</t>
  </si>
  <si>
    <t>2014-11-22T23:24:43Z</t>
  </si>
  <si>
    <t>datitran</t>
  </si>
  <si>
    <t>Dat Tran</t>
  </si>
  <si>
    <t>BEAMS SAFETY AI</t>
  </si>
  <si>
    <t>VP of AI/ML at Beams Safety AI ðŸ¤– | Advisor. Ex-CTO/Co-Founder @Priceloop. Ex-Head of AI @AxelSpringer, Ex-Pivotal.</t>
  </si>
  <si>
    <t>2013-03-14T17:02:54Z</t>
  </si>
  <si>
    <t>arash-hacker</t>
  </si>
  <si>
    <t>Berlin,Berlin, Germany</t>
  </si>
  <si>
    <t>Arshiamidos@gmail.com</t>
  </si>
  <si>
    <t>Principal Software Engineer | Hacker</t>
  </si>
  <si>
    <t>2014-01-20T15:19:23Z</t>
  </si>
  <si>
    <t>alireza0</t>
  </si>
  <si>
    <t>Alireza Ahmadi</t>
  </si>
  <si>
    <t>alireza7@gmail.com</t>
  </si>
  <si>
    <t>2015-05-23T12:47:02Z</t>
  </si>
  <si>
    <t>maciejwalkowiak</t>
  </si>
  <si>
    <t>Maciej Walkowiak</t>
  </si>
  <si>
    <t>walkowiak.maciej@yahoo.com</t>
  </si>
  <si>
    <t>Freelance Architect &amp; Developer_x000D_
ðŸƒSpring projects Contributor_x000D_
Java âˆ™ Spring âˆ™ AWS âˆ™</t>
  </si>
  <si>
    <t>2012-01-20T12:33:25Z</t>
  </si>
  <si>
    <t>eps1lon</t>
  </si>
  <si>
    <t>Sebastian "Sebbie" Silbermann</t>
  </si>
  <si>
    <t>silbermann.sebastian@gmail.com</t>
  </si>
  <si>
    <t>I maintain stuff.</t>
  </si>
  <si>
    <t>2015-05-07T08:08:10Z</t>
  </si>
  <si>
    <t>MohamedMesto</t>
  </si>
  <si>
    <t>Mohamed Mesto</t>
  </si>
  <si>
    <t>Software Engineer | Front-End Developer.</t>
  </si>
  <si>
    <t>2018-10-21T13:46:26Z</t>
  </si>
  <si>
    <t>solegalli</t>
  </si>
  <si>
    <t>Soledad Galli</t>
  </si>
  <si>
    <t>TRAIN IN DATA</t>
  </si>
  <si>
    <t>ðŸ‘¨â€ðŸ’» Data scientist, best-selling machine learning instructor, and book author. ðŸ“š Developer of Feature-engine. ðŸš€</t>
  </si>
  <si>
    <t>2015-04-05T10:25:19Z</t>
  </si>
  <si>
    <t>mugli</t>
  </si>
  <si>
    <t>Mehdi Hasan Khan</t>
  </si>
  <si>
    <t>CONTENTFUL</t>
  </si>
  <si>
    <t>mhasan@omicronlab.com</t>
  </si>
  <si>
    <t>Infrastructure Engineer _x000D_
@contentful. Node.js and Go dev.</t>
  </si>
  <si>
    <t>2012-08-29T08:14:13Z</t>
  </si>
  <si>
    <t>pedromassango</t>
  </si>
  <si>
    <t>Pedro Massango</t>
  </si>
  <si>
    <t>MONTA-APP</t>
  </si>
  <si>
    <t>Software Engineer &amp; Flutter GDE</t>
  </si>
  <si>
    <t>2017-11-01T18:50:33Z</t>
  </si>
  <si>
    <t>Byron</t>
  </si>
  <si>
    <t>Sebastian Thiel</t>
  </si>
  <si>
    <t>sebastian.thiel@icloud.com</t>
  </si>
  <si>
    <t>2009-03-15T13:15:06Z</t>
  </si>
  <si>
    <t>aFarkas</t>
  </si>
  <si>
    <t>Alexander Farkas</t>
  </si>
  <si>
    <t>alex@boffinhouse.com</t>
  </si>
  <si>
    <t>2010-01-23T12:19:27Z</t>
  </si>
  <si>
    <t>mr-mig</t>
  </si>
  <si>
    <t>Alexey Migutsky</t>
  </si>
  <si>
    <t>MICROSOFT / GITHUB</t>
  </si>
  <si>
    <t>alexey.migutsky@gmail.com</t>
  </si>
  <si>
    <t>Me ðŸ”¨ codez</t>
  </si>
  <si>
    <t>2011-09-19T15:56:47Z</t>
  </si>
  <si>
    <t>gka</t>
  </si>
  <si>
    <t>Gregor Aisch</t>
  </si>
  <si>
    <t>ZEITONLINE</t>
  </si>
  <si>
    <t>Senior visual data journalist @ZeitOnline, Co-founder @Datawrapper, proud @nytgraphics alumni. most of my old repos live at @vis4 now</t>
  </si>
  <si>
    <t>2011-02-14T15:48:07Z</t>
  </si>
  <si>
    <t>cytopia</t>
  </si>
  <si>
    <t>DevOps Engineer</t>
  </si>
  <si>
    <t>2015-05-20T18:47:38Z</t>
  </si>
  <si>
    <t>explosion</t>
  </si>
  <si>
    <t>Explosion</t>
  </si>
  <si>
    <t>contact@explosion.ai</t>
  </si>
  <si>
    <t>Software company specializing in developer tools and tailored solutions for AI and Natural Language Processing</t>
  </si>
  <si>
    <t>2016-06-18T09:18:01Z</t>
  </si>
  <si>
    <t>omz</t>
  </si>
  <si>
    <t>Ole Zorn</t>
  </si>
  <si>
    <t>OMZ:SOFTWARE</t>
  </si>
  <si>
    <t>2009-05-08T16:14:34Z</t>
  </si>
  <si>
    <t>sujinleeme</t>
  </si>
  <si>
    <t>Sujin Lee</t>
  </si>
  <si>
    <t>ADJUST</t>
  </si>
  <si>
    <t xml:space="preserve">ðŸ§‘â€ðŸŽ¨ Painting at @adjust </t>
  </si>
  <si>
    <t>2013-11-22T15:36:19Z</t>
  </si>
  <si>
    <t>tgalal</t>
  </si>
  <si>
    <t>Tarek</t>
  </si>
  <si>
    <t>tare2.galal@gmail.com</t>
  </si>
  <si>
    <t>2011-07-05T10:29:14Z</t>
  </si>
  <si>
    <t>stefanjudis</t>
  </si>
  <si>
    <t>Stefan Judis</t>
  </si>
  <si>
    <t>frontend dev | doing open source stuff | collecting stuff at perf-tooling.today &amp; tiny-helpers.dev</t>
  </si>
  <si>
    <t>2011-08-05T21:14:11Z</t>
  </si>
  <si>
    <t>cs-MohamedAyman</t>
  </si>
  <si>
    <t>Ayman M.</t>
  </si>
  <si>
    <t>Berlin, Berlin, Germany</t>
  </si>
  <si>
    <t>Machine Learning Mentor and Advisor | Research and Development Software Engineer</t>
  </si>
  <si>
    <t>2020-01-22T13:06:45Z</t>
  </si>
  <si>
    <t>dmonad</t>
  </si>
  <si>
    <t xml:space="preserve"> Kevin Jahns</t>
  </si>
  <si>
    <t>INDEPENDENT OSS DEVELOPER</t>
  </si>
  <si>
    <t>kevin.jahns@protonmail.com</t>
  </si>
  <si>
    <t xml:space="preserve">Working to make the web more collaborative @yjs @y-crdt _x000D_
_x000D_
_x000D_
_x000D_
</t>
  </si>
  <si>
    <t>2013-09-26T23:26:43Z</t>
  </si>
  <si>
    <t>ojack</t>
  </si>
  <si>
    <t>Olivia Jack</t>
  </si>
  <si>
    <t xml:space="preserve"> Berlin / BogotÃ¡</t>
  </si>
  <si>
    <t>2013-07-01T17:58:48Z</t>
  </si>
  <si>
    <t>beorn7</t>
  </si>
  <si>
    <t>BjÃ¶rn Rabenstein</t>
  </si>
  <si>
    <t>GRAFANA</t>
  </si>
  <si>
    <t>beorn@grafana.com</t>
  </si>
  <si>
    <t>@prometheus developer working at @grafana. Alumnus of @soundcloud and @google._x000D_
_x000D_
Hope is not a strategy â€“ but it springs eternal.</t>
  </si>
  <si>
    <t>2013-10-04T08:42:18Z</t>
  </si>
  <si>
    <t>camunda</t>
  </si>
  <si>
    <t>Camunda</t>
  </si>
  <si>
    <t>info@camunda.com</t>
  </si>
  <si>
    <t>2012-09-28T08:18:19Z</t>
  </si>
  <si>
    <t>olilarkin</t>
  </si>
  <si>
    <t>Oli Larkin</t>
  </si>
  <si>
    <t>ABLETON, OLI LARKIN PLUG-INS</t>
  </si>
  <si>
    <t>Audio Plug-ins, C++, @iPlug2, @webaudiomodules @SpatialAudioKit</t>
  </si>
  <si>
    <t>2011-03-07T14:24:38Z</t>
  </si>
  <si>
    <t>deliveryhero</t>
  </si>
  <si>
    <t>Delivery Hero SE</t>
  </si>
  <si>
    <t>2014-04-08T13:09:24Z</t>
  </si>
  <si>
    <t>berndruecker</t>
  </si>
  <si>
    <t>Bernd Ruecker</t>
  </si>
  <si>
    <t>CAMUNDA</t>
  </si>
  <si>
    <t>bernd.ruecker@camunda.com</t>
  </si>
  <si>
    <t>Process automation enthusiast. Co-founder and chief technologist of http://camunda.com . Blog, articles and talks at https://berndruecker.io</t>
  </si>
  <si>
    <t>2011-11-24T08:32:44Z</t>
  </si>
  <si>
    <t>xct</t>
  </si>
  <si>
    <t>Berlin | Tokyo</t>
  </si>
  <si>
    <t>xct@vulndev.io</t>
  </si>
  <si>
    <t>Hobby âš‘ Collector</t>
  </si>
  <si>
    <t>2014-10-18T05:58:57Z</t>
  </si>
  <si>
    <t>rxrbln</t>
  </si>
  <si>
    <t>RenÃ© Rebe</t>
  </si>
  <si>
    <t>EXACTCODE GMBH</t>
  </si>
  <si>
    <t>rene@rebe.name</t>
  </si>
  <si>
    <t>20+ years OpenSource: T2 Linux, ExactImage and likely contributed to most major projects out there.</t>
  </si>
  <si>
    <t>2016-04-17T17:27:20Z</t>
  </si>
  <si>
    <t>davidchambers</t>
  </si>
  <si>
    <t>David Chambers</t>
  </si>
  <si>
    <t>dc@davidchambers.me</t>
  </si>
  <si>
    <t>Functional programming enthusiast. Creator of Sanctuary, our refuge from unsafe JavaScript.</t>
  </si>
  <si>
    <t>2010-02-25T03:13:55Z</t>
  </si>
  <si>
    <t>adamwiggins</t>
  </si>
  <si>
    <t>Adam Wiggins</t>
  </si>
  <si>
    <t>MUSE</t>
  </si>
  <si>
    <t>a@adamwiggins.com</t>
  </si>
  <si>
    <t>Digital toolmaker</t>
  </si>
  <si>
    <t>2008-02-10T19:58:31Z</t>
  </si>
  <si>
    <t>naderman</t>
  </si>
  <si>
    <t>Nils Adermann</t>
  </si>
  <si>
    <t>PACKAGIST</t>
  </si>
  <si>
    <t xml:space="preserve">Co-Founder of @packagist / https://packagist.com and Co-Creator of @composer - he/him_x000D_
_x000D_
</t>
  </si>
  <si>
    <t>2009-11-18T13:24:59Z</t>
  </si>
  <si>
    <t>fjl</t>
  </si>
  <si>
    <t>Felix Lange</t>
  </si>
  <si>
    <t>fjl@ethereum.org</t>
  </si>
  <si>
    <t>Chief Stacktrace Designer</t>
  </si>
  <si>
    <t>2008-04-12T10:37:15Z</t>
  </si>
  <si>
    <t>vitormalencar</t>
  </si>
  <si>
    <t>Vitor Alencar</t>
  </si>
  <si>
    <t>TAXFIX</t>
  </si>
  <si>
    <t xml:space="preserve">Berlin Germany </t>
  </si>
  <si>
    <t>vitor.maia.alencar@gmail.com</t>
  </si>
  <si>
    <t>âš¡ï¸ Web developer &amp; speaker_x000D_
ðŸ”¥ focused on new and scalable technologies_x000D_
ðŸ¦„ who loves sharing knowledge</t>
  </si>
  <si>
    <t>2014-05-30T00:00:07Z</t>
  </si>
  <si>
    <t>moklick</t>
  </si>
  <si>
    <t>Moritz Klack</t>
  </si>
  <si>
    <t>XYFLOW</t>
  </si>
  <si>
    <t>info@moritzklack.com</t>
  </si>
  <si>
    <t xml:space="preserve">Working on React Flow and Svelte Flow @xyflow </t>
  </si>
  <si>
    <t>2012-11-21T22:06:05Z</t>
  </si>
  <si>
    <t>rpolonsky</t>
  </si>
  <si>
    <t>Roman V Polonsky</t>
  </si>
  <si>
    <t>Senior Front End Software Engineer</t>
  </si>
  <si>
    <t>2013-01-21T07:07:26Z</t>
  </si>
  <si>
    <t>kashif</t>
  </si>
  <si>
    <t>Kashif Rasul</t>
  </si>
  <si>
    <t>kashif.rasul@gmail.com</t>
  </si>
  <si>
    <t>Principal Research Scientist working on Deep Learning, Time Series Forecasting, Reinforcement Learning and HPC.</t>
  </si>
  <si>
    <t>2008-04-21T20:18:07Z</t>
  </si>
  <si>
    <t>LilithWittmann</t>
  </si>
  <si>
    <t>Lilith Wittmann</t>
  </si>
  <si>
    <t xml:space="preserve">freelance developer &amp; consultant_x000D_
</t>
  </si>
  <si>
    <t>2011-07-02T23:39:24Z</t>
  </si>
  <si>
    <t>jamesmunns</t>
  </si>
  <si>
    <t>James Munns</t>
  </si>
  <si>
    <t>james@onevariable.com</t>
  </si>
  <si>
    <t>Bringing Rust to new places, big and small. Available for consulting @OneVariable!_x000D_
_x000D_
Resources Team @ Rust Embedded Working Group</t>
  </si>
  <si>
    <t>2012-08-05T10:39:01Z</t>
  </si>
  <si>
    <t>pudo</t>
  </si>
  <si>
    <t>Friedrich Lindenberg</t>
  </si>
  <si>
    <t>OPENSANCTIONS</t>
  </si>
  <si>
    <t>friedrich.lindenberg@gmail.com</t>
  </si>
  <si>
    <t xml:space="preserve">Data and software engineer, investigative support. </t>
  </si>
  <si>
    <t>2008-12-19T17:04:00Z</t>
  </si>
  <si>
    <t>javierbyte</t>
  </si>
  <si>
    <t>Javier BÃ³rquez</t>
  </si>
  <si>
    <t>hi@javier.xyz</t>
  </si>
  <si>
    <t>2012-07-20T04:51:56Z</t>
  </si>
  <si>
    <t>meh</t>
  </si>
  <si>
    <t>meh.</t>
  </si>
  <si>
    <t>meh@schizofreni.co</t>
  </si>
  <si>
    <t>Never compromise, not even in the face of Armageddon.</t>
  </si>
  <si>
    <t>2008-12-13T11:44:43Z</t>
  </si>
  <si>
    <t>rednafi</t>
  </si>
  <si>
    <t>Redowan Delowar</t>
  </si>
  <si>
    <t>WOLT</t>
  </si>
  <si>
    <t>redowan.nafi@gmail.com</t>
  </si>
  <si>
    <t xml:space="preserve">Roving amateur with a flair for words and wires | SWE @woltapp | ðŸ‡©ðŸ‡ª ðŸ‡ºðŸ‡¸ ðŸ‡§ðŸ‡©_x000D_
</t>
  </si>
  <si>
    <t>2017-07-09T19:48:26Z</t>
  </si>
  <si>
    <t>visenger</t>
  </si>
  <si>
    <t>Dr. Larysa Visengeriyeva</t>
  </si>
  <si>
    <t xml:space="preserve">Berlin, Germany </t>
  </si>
  <si>
    <t xml:space="preserve">_x000D_
    I am the queen of ml-ops.org _x000D_
Working at the intersection of software engineering and machine learning. PhD in Augmented Data Quality._x000D_
</t>
  </si>
  <si>
    <t>2012-07-20T22:37:19Z</t>
  </si>
  <si>
    <t>brancz</t>
  </si>
  <si>
    <t>Frederic Branczyk</t>
  </si>
  <si>
    <t>POLARSIGNALS</t>
  </si>
  <si>
    <t>fbranczyk@gmail.com</t>
  </si>
  <si>
    <t>2013-05-28T07:46:00Z</t>
  </si>
  <si>
    <t>zaraco</t>
  </si>
  <si>
    <t>Zahra Teymouri</t>
  </si>
  <si>
    <t>VECTRONIC AEROSPACE</t>
  </si>
  <si>
    <t>zahrateymouri90@gmail.com</t>
  </si>
  <si>
    <t>Software Developer</t>
  </si>
  <si>
    <t>2020-03-08T12:07:10Z</t>
  </si>
  <si>
    <t>spacekookie</t>
  </si>
  <si>
    <t>Katharina Fey</t>
  </si>
  <si>
    <t>kookie@spacekookie.de</t>
  </si>
  <si>
    <t xml:space="preserve">Mediocre programmer extraordinaire. Compilers are your friend ðŸ”¹ she/them  </t>
  </si>
  <si>
    <t>2014-05-22T14:00:50Z</t>
  </si>
  <si>
    <t>ptaoussanis</t>
  </si>
  <si>
    <t>Peter Taoussanis</t>
  </si>
  <si>
    <t>TAOENSSO</t>
  </si>
  <si>
    <t>Berlin, Chiang Mai, Johannesburg</t>
  </si>
  <si>
    <t>peter@taoensso.com</t>
  </si>
  <si>
    <t>Clojure/Script open source llama</t>
  </si>
  <si>
    <t>2009-11-30T18:41:46Z</t>
  </si>
  <si>
    <t>deepset-ai</t>
  </si>
  <si>
    <t>deepset</t>
  </si>
  <si>
    <t>hello@deepset.ai</t>
  </si>
  <si>
    <t>Building enterprise search systems powered by latest NLP &amp; open-source.</t>
  </si>
  <si>
    <t>2019-06-14T14:23:33Z</t>
  </si>
  <si>
    <t>traviscibot</t>
  </si>
  <si>
    <t>Travis CI</t>
  </si>
  <si>
    <t>TRAVIS CI</t>
  </si>
  <si>
    <t>Deployment Bot (from Travis CI)</t>
  </si>
  <si>
    <t>2017-10-26T07:53:22Z</t>
  </si>
  <si>
    <t>mlent</t>
  </si>
  <si>
    <t>Monica Lent</t>
  </si>
  <si>
    <t>AFFILIMATEIO</t>
  </si>
  <si>
    <t>2012-05-23T22:20:19Z</t>
  </si>
  <si>
    <t>emad-elsaid</t>
  </si>
  <si>
    <t>Emad Elsaid</t>
  </si>
  <si>
    <t>HELLOFRESH</t>
  </si>
  <si>
    <t>A software engineer</t>
  </si>
  <si>
    <t>2009-02-13T23:45:51Z</t>
  </si>
  <si>
    <t>paolorotolo</t>
  </si>
  <si>
    <t>Paolo Rotolo</t>
  </si>
  <si>
    <t>BLINKIST</t>
  </si>
  <si>
    <t>Android Developer @blinkist._x000D_
_x000D_
Co-lead GDG Bari. Open Source, Kotlin and Community fan! Maintainer of @AppIntro</t>
  </si>
  <si>
    <t>2013-10-06T16:01:26Z</t>
  </si>
  <si>
    <t>panique</t>
  </si>
  <si>
    <t>Chris</t>
  </si>
  <si>
    <t>Berlin (Germany)</t>
  </si>
  <si>
    <t>5.000+ â˜… on GitHub. PHP dev, 13+ years of experience. Hire me ;)</t>
  </si>
  <si>
    <t>2009-11-21T12:15:55Z</t>
  </si>
  <si>
    <t>kof</t>
  </si>
  <si>
    <t>Oleg Isonen</t>
  </si>
  <si>
    <t>WEBSTUDIO-IS</t>
  </si>
  <si>
    <t>oleg008@gmail.com</t>
  </si>
  <si>
    <t>2009-02-08T18:49:11Z</t>
  </si>
  <si>
    <t>falkTX</t>
  </si>
  <si>
    <t>Filipe Coelho</t>
  </si>
  <si>
    <t>I'm a self-taught software developer, with personal interest in C++ and Python._x000D_
Easily motivated by a good challenge. Open-Source enthusiast.</t>
  </si>
  <si>
    <t>2012-01-16T20:28:18Z</t>
  </si>
  <si>
    <t>pepicrft</t>
  </si>
  <si>
    <t>Pedro PiÃ±era BuendÃ­a</t>
  </si>
  <si>
    <t>TUIST</t>
  </si>
  <si>
    <t>Builder and software-crafter</t>
  </si>
  <si>
    <t>2011-03-11T07:58:23Z</t>
  </si>
  <si>
    <t>hramezani</t>
  </si>
  <si>
    <t>Hasan Ramezani</t>
  </si>
  <si>
    <t>PYDANTIC</t>
  </si>
  <si>
    <t>hasan.r67@gmail.com</t>
  </si>
  <si>
    <t>Python Backend Developer. Member of Django Triage&amp;Review team. Contributor of @django , @urllib3 , @pydantic , ..._x000D_
Maintainer of some @jazzband packages</t>
  </si>
  <si>
    <t>2012-12-25T18:04:47Z</t>
  </si>
  <si>
    <t>cebe</t>
  </si>
  <si>
    <t>Carsten Brandt</t>
  </si>
  <si>
    <t>YIISOFT, @CEBE-CC</t>
  </si>
  <si>
    <t>Berlin / Alfeld, Germany</t>
  </si>
  <si>
    <t>mail@cebe.cc</t>
  </si>
  <si>
    <t>PGP: 1DEEEED0</t>
  </si>
  <si>
    <t>2010-01-26T00:15:13Z</t>
  </si>
  <si>
    <t>PurpleBooth</t>
  </si>
  <si>
    <t>Billie Thompson</t>
  </si>
  <si>
    <t>ARMAKUNI</t>
  </si>
  <si>
    <t>I am quite tall and have curly hair.</t>
  </si>
  <si>
    <t>2009-09-30T16:27:21Z</t>
  </si>
  <si>
    <t>bergie</t>
  </si>
  <si>
    <t>Henri Bergius</t>
  </si>
  <si>
    <t>henri.bergius@iki.fi</t>
  </si>
  <si>
    <t>Sailor, developer, occasional adventurer</t>
  </si>
  <si>
    <t>2008-03-18T07:23:03Z</t>
  </si>
  <si>
    <t>bkchr</t>
  </si>
  <si>
    <t>Bastian KÃ¶cher</t>
  </si>
  <si>
    <t>PARITYTECH</t>
  </si>
  <si>
    <t>Ser Developer @paritytech using @rust-lang. _x000D_
_x000D_
13fvj4bNfrTo8oW6U8525soRp6vhjAFLum6XBdtqq9yP22E7</t>
  </si>
  <si>
    <t>2013-10-18T12:11:15Z</t>
  </si>
  <si>
    <t>rahmonov</t>
  </si>
  <si>
    <t>Jakhongir</t>
  </si>
  <si>
    <t>AMAZON WEB SERVICES</t>
  </si>
  <si>
    <t>jrahmonov2@gmail.com</t>
  </si>
  <si>
    <t>Software Engineer</t>
  </si>
  <si>
    <t>2014-10-05T15:48:33Z</t>
  </si>
  <si>
    <t>derhuerst</t>
  </si>
  <si>
    <t>Jannis R</t>
  </si>
  <si>
    <t>FREELANCER</t>
  </si>
  <si>
    <t>mail@jannisr.de</t>
  </si>
  <si>
    <t>By writing open-source software, I try to make urban infrastructure more accessible &amp; convenient.</t>
  </si>
  <si>
    <t>2013-07-23T11:37:44Z</t>
  </si>
  <si>
    <t>svenfuchs</t>
  </si>
  <si>
    <t>Sven Fuchs</t>
  </si>
  <si>
    <t>FORMERLY TRAVIS CI</t>
  </si>
  <si>
    <t>Germany/Berlin</t>
  </si>
  <si>
    <t>me@svenfuchs.com</t>
  </si>
  <si>
    <t>2008-03-04T20:38:09Z</t>
  </si>
  <si>
    <t>nikolasburk</t>
  </si>
  <si>
    <t>Nikolas</t>
  </si>
  <si>
    <t>PRISMA</t>
  </si>
  <si>
    <t>nikolas.burk@gmail.com</t>
  </si>
  <si>
    <t>Learning and teaching at @prisma</t>
  </si>
  <si>
    <t>2013-04-04T11:30:48Z</t>
  </si>
  <si>
    <t>areyou1or0</t>
  </si>
  <si>
    <t>Busra Demir</t>
  </si>
  <si>
    <t>NEONDATABASE</t>
  </si>
  <si>
    <t xml:space="preserve">Hacker. </t>
  </si>
  <si>
    <t>2017-03-13T14:04:10Z</t>
  </si>
  <si>
    <t>Phantas0s</t>
  </si>
  <si>
    <t>Matthieu Cneude</t>
  </si>
  <si>
    <t>Coding for 20 years._x000D_
Love the Linux shell and CLIs.</t>
  </si>
  <si>
    <t>2012-12-30T21:12:00Z</t>
  </si>
  <si>
    <t>tasomaniac</t>
  </si>
  <si>
    <t>Said Tahsin Dane</t>
  </si>
  <si>
    <t>DELIVERYHERO</t>
  </si>
  <si>
    <t>tasomaniac@gmail.com</t>
  </si>
  <si>
    <t xml:space="preserve">Engineering Manager @deliveryhero_x000D_
</t>
  </si>
  <si>
    <t>2011-05-02T12:06:25Z</t>
  </si>
  <si>
    <t>ndrplz</t>
  </si>
  <si>
    <t>Andrea Palazzi</t>
  </si>
  <si>
    <t>NOMITRI - PERCEPTION AI FOR MOBILE</t>
  </si>
  <si>
    <t>ndrplz@gmail.com</t>
  </si>
  <si>
    <t>Head of AI @ Nomitri  - Computer Vision PhD</t>
  </si>
  <si>
    <t>2013-01-04T18:13:26Z</t>
  </si>
  <si>
    <t>zalando</t>
  </si>
  <si>
    <t>Zalando SE</t>
  </si>
  <si>
    <t>Berlin, Dublin, Helsinki, Dortmund, Erfurt, MÃ¶nchengladbach, Hamburg</t>
  </si>
  <si>
    <t>opensource@zalando.de</t>
  </si>
  <si>
    <t>The org page for Zalando, Europe's leading online fashion platform. Visit opensource.zalando.com for project stats.</t>
  </si>
  <si>
    <t>2012-03-22T14:47:53Z</t>
  </si>
  <si>
    <t>voronianski</t>
  </si>
  <si>
    <t>Dmytro Voronianski</t>
  </si>
  <si>
    <t>SUMUP</t>
  </si>
  <si>
    <t>*.js,*.lua,*.swift</t>
  </si>
  <si>
    <t>2011-08-11T14:20:36Z</t>
  </si>
  <si>
    <t>maateen</t>
  </si>
  <si>
    <t>Maksudur Rahman Maateen</t>
  </si>
  <si>
    <t>QUANDOO</t>
  </si>
  <si>
    <t>maateen@outlook.com</t>
  </si>
  <si>
    <t>DevOps Engineer | SRE</t>
  </si>
  <si>
    <t>2015-03-31T18:34:38Z</t>
  </si>
  <si>
    <t>Expensify</t>
  </si>
  <si>
    <t>Expensify, Inc</t>
  </si>
  <si>
    <t>San Francisco, Ironwood, Denver, London, Berlin, Melbourne, Portland</t>
  </si>
  <si>
    <t>2010-11-11T03:59:16Z</t>
  </si>
  <si>
    <t>lilic</t>
  </si>
  <si>
    <t>Lili Cosic</t>
  </si>
  <si>
    <t xml:space="preserve">â˜ï¸ </t>
  </si>
  <si>
    <t>2013-12-20T17:52:46Z</t>
  </si>
  <si>
    <t>fzerorubigd</t>
  </si>
  <si>
    <t>Forud</t>
  </si>
  <si>
    <t>fzero@rubi.gd</t>
  </si>
  <si>
    <t xml:space="preserve">Full time dad, part time developer. </t>
  </si>
  <si>
    <t>2011-07-24T06:07:47Z</t>
  </si>
  <si>
    <t>endocrimes</t>
  </si>
  <si>
    <t>Danielle</t>
  </si>
  <si>
    <t>FERMYON TECHNOLOGIES</t>
  </si>
  <si>
    <t>dani@builds.terrible.systems</t>
  </si>
  <si>
    <t>building tools &amp; communities.</t>
  </si>
  <si>
    <t>2012-01-14T21:35:58Z</t>
  </si>
  <si>
    <t>plutov</t>
  </si>
  <si>
    <t>Alex Pliutau</t>
  </si>
  <si>
    <t>BINARLY-IO</t>
  </si>
  <si>
    <t>a.pliutau@gmail.com</t>
  </si>
  <si>
    <t>SWE | Passionate about Backend, Go, Cloud, DevOps, Kubernetes | Writing https://packagemain.tech Newsletter |  ðŸ‡©ðŸ‡ª</t>
  </si>
  <si>
    <t>2011-10-13T08:03:24Z</t>
  </si>
  <si>
    <t>kjam</t>
  </si>
  <si>
    <t>Katharine</t>
  </si>
  <si>
    <t>KJAMISTAN</t>
  </si>
  <si>
    <t>katharine@kjamistan.com</t>
  </si>
  <si>
    <t>2010-07-15T23:59:17Z</t>
  </si>
  <si>
    <t>neelance</t>
  </si>
  <si>
    <t>Richard Musiol</t>
  </si>
  <si>
    <t>mail@richard-musiol.de</t>
  </si>
  <si>
    <t>2008-07-06T15:11:15Z</t>
  </si>
  <si>
    <t>skade</t>
  </si>
  <si>
    <t>Florian Gilcher</t>
  </si>
  <si>
    <t>FERROUS SYSTEMS</t>
  </si>
  <si>
    <t>florian.gilcher@ferrous-systems.com</t>
  </si>
  <si>
    <t>Managing Director @ferrous-systems. Heavily invested @rust-lang functional safety._x000D_
_x000D_
Organiser @eurucamp/@jrubyconf/@rustfest/@oxidizeconf.</t>
  </si>
  <si>
    <t>2009-01-18T23:30:12Z</t>
  </si>
  <si>
    <t>codergogoi</t>
  </si>
  <si>
    <t>Jay Gogoi</t>
  </si>
  <si>
    <t>codergogoi@gmail.com</t>
  </si>
  <si>
    <t>Lead Engineer  [ Backend | Architect | System Design | Go | Rust | NodeJs | NestJS | Typescript | ES6 | GraphQL | Microservice | AWS] Co-Founder of @GlasHomes</t>
  </si>
  <si>
    <t>2014-03-24T14:30:29Z</t>
  </si>
  <si>
    <t>RobertTLange</t>
  </si>
  <si>
    <t>Robert Tjarko Lange</t>
  </si>
  <si>
    <t>Tokyo, Berlin, Barcelona, London</t>
  </si>
  <si>
    <t>robertlange0@gmail.com</t>
  </si>
  <si>
    <t xml:space="preserve">_x000D_
    _x000D_
    _x000D_
Meta-Discovery @SakanaAI ðŸ•µï¸_x000D_
_x000D_
_x000D_
</t>
  </si>
  <si>
    <t>2016-07-09T20:30:24Z</t>
  </si>
  <si>
    <t>anapaulagomes</t>
  </si>
  <si>
    <t>Ana Paula Gomes</t>
  </si>
  <si>
    <t>ROBERT-KOCH-INSTITUT</t>
  </si>
  <si>
    <t>PhD student at the @robert-koch-institut (Centre for Artificial Intelligence in Public Health Research), master of none. Latina.</t>
  </si>
  <si>
    <t>2012-06-27T19:26:47Z</t>
  </si>
  <si>
    <t>infusion</t>
  </si>
  <si>
    <t>Robert Eisele</t>
  </si>
  <si>
    <t>RAWIFY</t>
  </si>
  <si>
    <t>Mathematics, Machine Learning, Databases, Robotics, Hardware Hacking</t>
  </si>
  <si>
    <t>2010-02-05T14:30:20Z</t>
  </si>
  <si>
    <t>burakcan</t>
  </si>
  <si>
    <t>Burak Can</t>
  </si>
  <si>
    <t>HIVE-ENGINEERING</t>
  </si>
  <si>
    <t>2012-12-25T12:42:39Z</t>
  </si>
  <si>
    <t>msaaddev</t>
  </si>
  <si>
    <t>Saad Irfan</t>
  </si>
  <si>
    <t>FOUNDING ENGINEER @LANGBASEINC</t>
  </si>
  <si>
    <t>mrsaadirfan@gmail.com</t>
  </si>
  <si>
    <t>Turning ideas into code...</t>
  </si>
  <si>
    <t>2018-10-21T14:24:25Z</t>
  </si>
  <si>
    <t>sschmid</t>
  </si>
  <si>
    <t>Simon Schmid</t>
  </si>
  <si>
    <t>DESPERATEDEVS</t>
  </si>
  <si>
    <t>ðŸ‘¨â€ðŸ’»</t>
  </si>
  <si>
    <t>2010-03-30T21:41:51Z</t>
  </si>
  <si>
    <t>generall</t>
  </si>
  <si>
    <t>Andrey Vasnetsov</t>
  </si>
  <si>
    <t>QDRANT</t>
  </si>
  <si>
    <t>andrey@vasnetsov.com</t>
  </si>
  <si>
    <t>CTO, creator of Qdrant. Interested in Vector Search, Metric Learning, Self-Supervised and One-Shot learning.</t>
  </si>
  <si>
    <t>2012-07-07T12:04:52Z</t>
  </si>
  <si>
    <t>SpaceK33z</t>
  </si>
  <si>
    <t>Kees Kluskens</t>
  </si>
  <si>
    <t>Software Engineer and all-around a person.</t>
  </si>
  <si>
    <t>2010-12-22T18:09:26Z</t>
  </si>
  <si>
    <t>rootzoll</t>
  </si>
  <si>
    <t>/rootzoll</t>
  </si>
  <si>
    <t>freelancer &amp; projects</t>
  </si>
  <si>
    <t>2012-10-02T14:05:26Z</t>
  </si>
  <si>
    <t>debris</t>
  </si>
  <si>
    <t>Marek Kotewicz</t>
  </si>
  <si>
    <t>rust</t>
  </si>
  <si>
    <t>2012-10-21T16:33:44Z</t>
  </si>
  <si>
    <t>m0nad</t>
  </si>
  <si>
    <t>Victor Ramos Mello</t>
  </si>
  <si>
    <t>2011-05-06T18:40:11Z</t>
  </si>
  <si>
    <t>ozgurozturknet</t>
  </si>
  <si>
    <t>Ã–zgÃ¼r Ã–ZTÃœRK</t>
  </si>
  <si>
    <t>ozgur@ozgurozturk.net</t>
  </si>
  <si>
    <t>1l0l1l1l0l0l1l1l0l0l0l1l1l0l1l1l1</t>
  </si>
  <si>
    <t>2016-02-01T10:56:35Z</t>
  </si>
  <si>
    <t>cjwirth</t>
  </si>
  <si>
    <t>Caesar Wirth</t>
  </si>
  <si>
    <t>DUOLINGO</t>
  </si>
  <si>
    <t>2012-03-27T12:33:59Z</t>
  </si>
  <si>
    <t>janpio</t>
  </si>
  <si>
    <t>Jan Piotrowski</t>
  </si>
  <si>
    <t>2010-01-16T18:13:07Z</t>
  </si>
  <si>
    <t>philippjfr</t>
  </si>
  <si>
    <t>Philipp Rudiger</t>
  </si>
  <si>
    <t>ANACONDA INC.</t>
  </si>
  <si>
    <t>prudiger@anaconda.com</t>
  </si>
  <si>
    <t>Principal Software Engineer @ Anaconda Inc., creator of Panel, hvPlot, HoloViews and GeoViews and maintainer of Bokeh and Datashader.</t>
  </si>
  <si>
    <t>2012-03-18T21:34:51Z</t>
  </si>
  <si>
    <t>XAMPPRocky</t>
  </si>
  <si>
    <t>âž£ Livia Prima</t>
  </si>
  <si>
    <t>2013-05-18T11:34:54Z</t>
  </si>
  <si>
    <t>increpare</t>
  </si>
  <si>
    <t>analytic@gmail.com</t>
  </si>
  <si>
    <t>2010-11-03T11:15:32Z</t>
  </si>
  <si>
    <t>dereuromark</t>
  </si>
  <si>
    <t>Mark Scherer</t>
  </si>
  <si>
    <t>AVAILABLE AS (CAKE)PHP EXPERT</t>
  </si>
  <si>
    <t>Senior Software Developer, Tooling Architect &amp; Master of Automation - PHP Expert Freelancer</t>
  </si>
  <si>
    <t>2008-12-11T16:33:44Z</t>
  </si>
  <si>
    <t>iuridepaula</t>
  </si>
  <si>
    <t>Iuri de Paula</t>
  </si>
  <si>
    <t>MIRO</t>
  </si>
  <si>
    <t>You are alive. Act like it.</t>
  </si>
  <si>
    <t>2018-04-18T17:58:43Z</t>
  </si>
  <si>
    <t>Tienisto</t>
  </si>
  <si>
    <t>Tien Do Nam</t>
  </si>
  <si>
    <t>I like Flutter</t>
  </si>
  <si>
    <t>2018-04-14T15:20:37Z</t>
  </si>
  <si>
    <t>LefterisJP</t>
  </si>
  <si>
    <t>Lefteris Karapetsas</t>
  </si>
  <si>
    <t>Developer from Berlin. University of Tokyo graduate. Author of rotki, refulang, emacs-solidity._x000D_
_x000D_
Ethereum developer. _x000D_
_x000D_
Emacs zealot</t>
  </si>
  <si>
    <t>2012-04-19T08:07:48Z</t>
  </si>
  <si>
    <t>Conchylicultor</t>
  </si>
  <si>
    <t>etiennefg.pot@gmail.com</t>
  </si>
  <si>
    <t>Research Engineer</t>
  </si>
  <si>
    <t>2014-10-07T06:51:59Z</t>
  </si>
  <si>
    <t>localheinz</t>
  </si>
  <si>
    <t>Andreas MÃ¶ller</t>
  </si>
  <si>
    <t>ERGEBNIS</t>
  </si>
  <si>
    <t>am@localheinz.com</t>
  </si>
  <si>
    <t xml:space="preserve">I own a computer._x000D_
_x000D_
</t>
  </si>
  <si>
    <t>2011-02-07T20:53:35Z</t>
  </si>
  <si>
    <t>matthiasn</t>
  </si>
  <si>
    <t>Matthias Nehlsen</t>
  </si>
  <si>
    <t>Hamburg &amp; Berlin, Germany</t>
  </si>
  <si>
    <t>matthias.nehlsen@gmail.com</t>
  </si>
  <si>
    <t>I create technical debt for a living.</t>
  </si>
  <si>
    <t>2012-01-30T08:33:11Z</t>
  </si>
  <si>
    <t>q9f</t>
  </si>
  <si>
    <t>Afri</t>
  </si>
  <si>
    <t>2019-12-14T14:19:43Z</t>
  </si>
  <si>
    <t>chrieke</t>
  </si>
  <si>
    <t>Christoph Rieke</t>
  </si>
  <si>
    <t>christoph.k.rieke@gmail.com</t>
  </si>
  <si>
    <t>Geospatial Data Scientist</t>
  </si>
  <si>
    <t>2015-06-10T17:10:58Z</t>
  </si>
  <si>
    <t>NikolaiT</t>
  </si>
  <si>
    <t>Nikolai Tschacher</t>
  </si>
  <si>
    <t>GERMANY/BERLIN</t>
  </si>
  <si>
    <t>tschacher.nikolai@gmail.com</t>
  </si>
  <si>
    <t>I am a computer scientist (M. Sc.) and IT security specialist. Mostly working with JavaScript (Node.js) and Python. Creator and developer of ipapi.is</t>
  </si>
  <si>
    <t>2013-05-26T15:01:11Z</t>
  </si>
  <si>
    <t>thatisuday</t>
  </si>
  <si>
    <t>Uday Hiwarale</t>
  </si>
  <si>
    <t>SAP</t>
  </si>
  <si>
    <t xml:space="preserve">Senior Software Engineer @SAP </t>
  </si>
  <si>
    <t>2013-10-17T17:36:52Z</t>
  </si>
  <si>
    <t>rumyantseva</t>
  </si>
  <si>
    <t>Elena Grahovac</t>
  </si>
  <si>
    <t>FERRETDB</t>
  </si>
  <si>
    <t>2012-04-27T09:09:02Z</t>
  </si>
  <si>
    <t>tcurdt</t>
  </si>
  <si>
    <t>Torsten Curdt</t>
  </si>
  <si>
    <t>2008-06-14T07:00:08Z</t>
  </si>
  <si>
    <t>salihgueler</t>
  </si>
  <si>
    <t>Muhammed Salih Guler</t>
  </si>
  <si>
    <t>AWS AMPLIFY</t>
  </si>
  <si>
    <t>muhammedsalihguler@gmail.com</t>
  </si>
  <si>
    <t>advocate of devs</t>
  </si>
  <si>
    <t>2016-12-07T11:35:10Z</t>
  </si>
  <si>
    <t>iotaledger</t>
  </si>
  <si>
    <t>IOTA</t>
  </si>
  <si>
    <t>info@iota.org</t>
  </si>
  <si>
    <t>IOTA is a distributed ledger based on the Tangle. It allows for feeless value transfers and data integrity proofs.</t>
  </si>
  <si>
    <t>2016-06-24T10:55:18Z</t>
  </si>
  <si>
    <t>splitbrain</t>
  </si>
  <si>
    <t>Andreas Gohr</t>
  </si>
  <si>
    <t>COSMOCODE GMBH</t>
  </si>
  <si>
    <t>2009-05-19T18:52:35Z</t>
  </si>
  <si>
    <t>mtdvio</t>
  </si>
  <si>
    <t>MTDV</t>
  </si>
  <si>
    <t>hello@mtdv.io</t>
  </si>
  <si>
    <t>We help Software Engineers learn and grow!</t>
  </si>
  <si>
    <t>2017-10-24T07:58:34Z</t>
  </si>
  <si>
    <t>hukl</t>
  </si>
  <si>
    <t>John-Paul Bader</t>
  </si>
  <si>
    <t>2008-09-18T10:56:01Z</t>
  </si>
  <si>
    <t>juliusv</t>
  </si>
  <si>
    <t>Julius Volz</t>
  </si>
  <si>
    <t>PROMLABS</t>
  </si>
  <si>
    <t>2010-12-27T16:34:48Z</t>
  </si>
  <si>
    <t>wolfv</t>
  </si>
  <si>
    <t>Wolf Vollprecht</t>
  </si>
  <si>
    <t>PREFIX.DEV GMBH</t>
  </si>
  <si>
    <t>w.vollprecht@gmail.com</t>
  </si>
  <si>
    <t>prefix.dev |_x000D_
Package Management, Robotics and Jupyter</t>
  </si>
  <si>
    <t>2011-06-29T21:40:00Z</t>
  </si>
  <si>
    <t>kakkoyun</t>
  </si>
  <si>
    <t>Kemal Akkoyun</t>
  </si>
  <si>
    <t xml:space="preserve">Observability. Reliability. Performance. Linux, eBPF and profiling._x000D_
Helping to maintain @prometheus, @thanos-io, @prometheus-operator and @parca-dev </t>
  </si>
  <si>
    <t>2010-12-25T19:48:53Z</t>
  </si>
  <si>
    <t>Jolg42</t>
  </si>
  <si>
    <t>JoÃ«l Galeran</t>
  </si>
  <si>
    <t>Berlin, localhost</t>
  </si>
  <si>
    <t>Senior Developer â€¢ TypeError: undefined is not a function</t>
  </si>
  <si>
    <t>2012-01-13T20:34:58Z</t>
  </si>
  <si>
    <t>manashmandal</t>
  </si>
  <si>
    <t>Manash Kumar Mandal</t>
  </si>
  <si>
    <t>CREDITORNOT</t>
  </si>
  <si>
    <t>manashmndl@gmail.com</t>
  </si>
  <si>
    <t>2014-06-28T12:46:43Z</t>
  </si>
  <si>
    <t>domschiener</t>
  </si>
  <si>
    <t>Dominik Schiener</t>
  </si>
  <si>
    <t>IOTALEDGER</t>
  </si>
  <si>
    <t>Co-founder of @iotaledger</t>
  </si>
  <si>
    <t>2014-11-16T16:51:55Z</t>
  </si>
  <si>
    <t>ebrugulec</t>
  </si>
  <si>
    <t>Ebru Gulec</t>
  </si>
  <si>
    <t>Software Engineer, Bibliophile</t>
  </si>
  <si>
    <t>2014-12-21T18:53:17Z</t>
  </si>
  <si>
    <t>seyfer</t>
  </si>
  <si>
    <t>Oleg Abrazhaev</t>
  </si>
  <si>
    <t>HTTPS://SEYFER.GITHUB.IO/YOUR-LIFE/</t>
  </si>
  <si>
    <t>seyferseed@gmail.com</t>
  </si>
  <si>
    <t>JS, TS, PHP, Scala, Java._x000D_
If you follow me - I will follow you back._x000D_
| GitLab: https://gitlab.com/seyfer</t>
  </si>
  <si>
    <t>2012-02-29T02:58:19Z</t>
  </si>
  <si>
    <t>kaisermann</t>
  </si>
  <si>
    <t>Christian Kaisermann</t>
  </si>
  <si>
    <t>GETCIRCUIT</t>
  </si>
  <si>
    <t>christian@kaisermann.me</t>
  </si>
  <si>
    <t>building things to build other things.</t>
  </si>
  <si>
    <t>2015-06-01T19:03:09Z</t>
  </si>
  <si>
    <t>rohan20</t>
  </si>
  <si>
    <t>Rohan Taneja</t>
  </si>
  <si>
    <t xml:space="preserve">Flutter Evangelist_x000D_
</t>
  </si>
  <si>
    <t>2014-07-22T07:44:06Z</t>
  </si>
  <si>
    <t>wix</t>
  </si>
  <si>
    <t>Wix.com</t>
  </si>
  <si>
    <t>Tel Aviv, Be'er Sheva, Haifa, Vilnius, Kyiv, Dnipro, New York, San Francisco, Miami, Los Angeles, Phoenix, Denver, Berlin, Sao Paulo, Vancouver, Dublin, Tokyo</t>
  </si>
  <si>
    <t>Open-sourcing useful pieces of code</t>
  </si>
  <si>
    <t>2011-03-23T16:40:49Z</t>
  </si>
  <si>
    <t>cketti</t>
  </si>
  <si>
    <t>THUNDERBIRD</t>
  </si>
  <si>
    <t>hello@cketti.de</t>
  </si>
  <si>
    <t>Open source developer</t>
  </si>
  <si>
    <t>2010-03-08T01:32:20Z</t>
  </si>
  <si>
    <t>tasdikrahman</t>
  </si>
  <si>
    <t>Tasdik Rahman</t>
  </si>
  <si>
    <t>NEWRELIC</t>
  </si>
  <si>
    <t>Engineering @newrelic | @kubernetes-sigs Cluster API 1.9 Release Team | Formerly @deliveryhero, @gojek, @razorpay, past contributor to @oVirt</t>
  </si>
  <si>
    <t>2013-06-11T17:41:01Z</t>
  </si>
  <si>
    <t>berstend</t>
  </si>
  <si>
    <t>berstendÌ”Ì„Ì“ÌÌ„Í›Í˜Ì€Ì²Ì«Ì¡Ì¹Ì Ì–ÍšÍ“</t>
  </si>
  <si>
    <t>github@berstend.com</t>
  </si>
  <si>
    <t>@berstend_x000D_
[ËˆbÉ›ÊstnÌ©t]</t>
  </si>
  <si>
    <t>2012-01-22T19:47:12Z</t>
  </si>
  <si>
    <t>ThisIsMissEm</t>
  </si>
  <si>
    <t>Emelia Smith</t>
  </si>
  <si>
    <t>UNOBVIOUS-TECHNOLOGY / @BRANDEDCODE</t>
  </si>
  <si>
    <t>_x000D_
Tech Princess ðŸ‘¸ðŸ» Founder of @unobvious-technology ðŸ’ªðŸ» dweb philosopher ðŸ§ Tooling Witch ðŸ›  Contributor to the Fediverse, Former Node.js Contributor</t>
  </si>
  <si>
    <t>2008-10-24T12:13:31Z</t>
  </si>
  <si>
    <t>johannesjo</t>
  </si>
  <si>
    <t>Johannes Millan</t>
  </si>
  <si>
    <t>FRONTEND DEVELOPER</t>
  </si>
  <si>
    <t>I love programming!</t>
  </si>
  <si>
    <t>2012-02-21T06:03:54Z</t>
  </si>
  <si>
    <t>greyblake</t>
  </si>
  <si>
    <t>Serhii Potapov</t>
  </si>
  <si>
    <t>IMPERO-COM</t>
  </si>
  <si>
    <t>La suerte se burla de mi otra vez... En forma de  mÌ¶uÌ¶jÌ¶eÌ¶rÌ¶    JS...</t>
  </si>
  <si>
    <t>2009-08-09T17:57:29Z</t>
  </si>
  <si>
    <t>christianparpart</t>
  </si>
  <si>
    <t>Christian Parpart</t>
  </si>
  <si>
    <t>DR. JUNG &amp; PARTNER SOFTWARE &amp; CONSULTING AG</t>
  </si>
  <si>
    <t>christian@parpart.family</t>
  </si>
  <si>
    <t>breathing C++ &amp; author of Contour Terminal</t>
  </si>
  <si>
    <t>2009-02-22T08:09:37Z</t>
  </si>
  <si>
    <t>davidsbatista</t>
  </si>
  <si>
    <t>David S. Batista</t>
  </si>
  <si>
    <t>DEEPSET</t>
  </si>
  <si>
    <t>dsbatista@gmail.com</t>
  </si>
  <si>
    <t xml:space="preserve">Software Developer | NLP Engineer | Machine Learning @deepset-ai </t>
  </si>
  <si>
    <t>2014-06-19T22:03:31Z</t>
  </si>
  <si>
    <t>sheremet-va</t>
  </si>
  <si>
    <t>Vladimir</t>
  </si>
  <si>
    <t>2015-12-06T07:43:18Z</t>
  </si>
  <si>
    <t>ahmedash95</t>
  </si>
  <si>
    <t>Ahmed Ammar</t>
  </si>
  <si>
    <t>2014-07-26T00:37:59Z</t>
  </si>
  <si>
    <t>kostasx</t>
  </si>
  <si>
    <t>Kostas Minaidis</t>
  </si>
  <si>
    <t>INTECHGRATION.IO</t>
  </si>
  <si>
    <t>Athens, Greece / Berlin, Germany</t>
  </si>
  <si>
    <t>minaidisk@gmail.com</t>
  </si>
  <si>
    <t>Software Developer &amp; Tech Instructor_x000D_
(JavaScript, Node.JS, PHP, Python, WordPress)_x000D_
https://twitter.com/kostas_mns</t>
  </si>
  <si>
    <t>2012-04-12T21:44:20Z</t>
  </si>
  <si>
    <t>lislis</t>
  </si>
  <si>
    <t>2011-08-26T12:36:13Z</t>
  </si>
  <si>
    <t>AnirudhDagar</t>
  </si>
  <si>
    <t>Anirudh Dagar</t>
  </si>
  <si>
    <t>AWS @AUTOGLUON @D2L-AI</t>
  </si>
  <si>
    <t>anirudhdagar6@gmail.com</t>
  </si>
  <si>
    <t>Open Source | Machine Learning</t>
  </si>
  <si>
    <t>2016-11-21T00:11:30Z</t>
  </si>
  <si>
    <t>arximboldi</t>
  </si>
  <si>
    <t>Juanpe BolÃ­var</t>
  </si>
  <si>
    <t>CTO @BRONZE-DEV</t>
  </si>
  <si>
    <t>juanpe@sinusoid.es</t>
  </si>
  <si>
    <t>Postmodern C++, value-oriented design, interactive software, open-source strategy, functional programming, music tech.</t>
  </si>
  <si>
    <t>2013-05-24T16:37:06Z</t>
  </si>
  <si>
    <t>mhagger</t>
  </si>
  <si>
    <t>Michael Haggerty</t>
  </si>
  <si>
    <t>GITHUB</t>
  </si>
  <si>
    <t>mhagger@alum.mit.edu</t>
  </si>
  <si>
    <t>2009-08-26T13:01:43Z</t>
  </si>
  <si>
    <t>boopathi</t>
  </si>
  <si>
    <t>Boopathi Rajaa</t>
  </si>
  <si>
    <t>ZALANDO</t>
  </si>
  <si>
    <t>web stuff</t>
  </si>
  <si>
    <t>2010-06-02T14:50:11Z</t>
  </si>
  <si>
    <t>DonnchaC</t>
  </si>
  <si>
    <t>Donncha Ã“ Cearbhaill</t>
  </si>
  <si>
    <t>AMNESTYTECH</t>
  </si>
  <si>
    <t>donncha.ocearbhaill@amnesty.org</t>
  </si>
  <si>
    <t>Head of Security Lab at @AmnestyTech | Hunting spyware and unlawful surveillance targeting civil society</t>
  </si>
  <si>
    <t>2012-12-19T14:04:14Z</t>
  </si>
  <si>
    <t>gouthamve</t>
  </si>
  <si>
    <t>Goutham Veeramachaneni</t>
  </si>
  <si>
    <t>GRAFANA LABS</t>
  </si>
  <si>
    <t xml:space="preserve">@prometheus Maintainer. PM @grafana </t>
  </si>
  <si>
    <t>2014-04-20T16:12:56Z</t>
  </si>
  <si>
    <t>jackrusher</t>
  </si>
  <si>
    <t>Jack Rusher</t>
  </si>
  <si>
    <t>APPLIED SCIENCE STUDIO</t>
  </si>
  <si>
    <t>jack@rusher.com</t>
  </si>
  <si>
    <t>Former kernel hacker and Bell Labs/AT&amp;T Researcher, currently making art and technology in Berlin.</t>
  </si>
  <si>
    <t>2010-03-10T22:49:07Z</t>
  </si>
  <si>
    <t>matthiasplappert</t>
  </si>
  <si>
    <t>Matthias Plappert</t>
  </si>
  <si>
    <t>I am a research scientist with an interest in machine learning, robotics, reinforcement learning, LLMs, and code synthesis.</t>
  </si>
  <si>
    <t>2009-09-07T19:15:27Z</t>
  </si>
  <si>
    <t>nuhkoca</t>
  </si>
  <si>
    <t>Nuh Koca</t>
  </si>
  <si>
    <t>TRADEREPUBLIC</t>
  </si>
  <si>
    <t>nuhkocaa@gmail.com</t>
  </si>
  <si>
    <t>@udacity Certified @google Android Developer | Passionate Android Engineer | Open Source Enthusiast | Android Community Lover</t>
  </si>
  <si>
    <t>2013-10-18T15:24:18Z</t>
  </si>
  <si>
    <t>faressoft</t>
  </si>
  <si>
    <t>Mohammad Anas Fares</t>
  </si>
  <si>
    <t>FARESSOFT</t>
  </si>
  <si>
    <t>faressoft.com@gmail.com</t>
  </si>
  <si>
    <t>Senior Software Engineer at Wolt. Ex-Amazon._x000D_
_x000D_
ðŸ¦„_x000D_
Let's Talk !_x000D_
https://linkedin.com/in/faressoft</t>
  </si>
  <si>
    <t>2012-06-30T11:13:36Z</t>
  </si>
  <si>
    <t>xeolabs</t>
  </si>
  <si>
    <t>XEOLABS</t>
  </si>
  <si>
    <t>Berlin, Germany, Aotearoa</t>
  </si>
  <si>
    <t>3D Web Software Engineering | #BIM #AEC #MedViz #WebGPU #WebGL</t>
  </si>
  <si>
    <t>2009-05-11T02:07:20Z</t>
  </si>
  <si>
    <t>xyflow</t>
  </si>
  <si>
    <t>info@xyflow.com</t>
  </si>
  <si>
    <t>Powerful open source libraries for building node-based UIs with React or Svelte. Ready out-of-the-box and infinitely customizable</t>
  </si>
  <si>
    <t>2014-03-30T12:14:11Z</t>
  </si>
  <si>
    <t>AriaMinaei</t>
  </si>
  <si>
    <t>Aria</t>
  </si>
  <si>
    <t>Berlin &amp; Helsinki</t>
  </si>
  <si>
    <t>aria.minaei@gmail.com</t>
  </si>
  <si>
    <t>2011-01-31T16:59:46Z</t>
  </si>
  <si>
    <t>hellofresh</t>
  </si>
  <si>
    <t>HelloFresh</t>
  </si>
  <si>
    <t>admin@hellofresh.com</t>
  </si>
  <si>
    <t>2013-05-14T17:25:24Z</t>
  </si>
  <si>
    <t>lukasmasuch</t>
  </si>
  <si>
    <t>Lukas Masuch</t>
  </si>
  <si>
    <t>Lukas.Masuch@gmail.com</t>
  </si>
  <si>
    <t>2012-11-21T09:03:10Z</t>
  </si>
  <si>
    <t>ikrum</t>
  </si>
  <si>
    <t>Ikrum Hossain</t>
  </si>
  <si>
    <t>DELIVERY HERO SE</t>
  </si>
  <si>
    <t>ikrum.bd@gmail.com</t>
  </si>
  <si>
    <t>Live in code, Love in backend</t>
  </si>
  <si>
    <t>2014-06-11T13:20:04Z</t>
  </si>
  <si>
    <t>asus4</t>
  </si>
  <si>
    <t>Koki Ibukuro</t>
  </si>
  <si>
    <t>Freelance Creative Technologist</t>
  </si>
  <si>
    <t>2010-08-08T04:36:35Z</t>
  </si>
  <si>
    <t>simoneas02</t>
  </si>
  <si>
    <t>Simone Amorim</t>
  </si>
  <si>
    <t>AMPEROAI</t>
  </si>
  <si>
    <t>Berlin-Germany</t>
  </si>
  <si>
    <t>simoneas03@gmail.com</t>
  </si>
  <si>
    <t xml:space="preserve">Mother, WWCode Leader, front-end developer, and  CSS evangelist. I'm passionate about running and bike riding  :heart: _x000D_
</t>
  </si>
  <si>
    <t>2014-06-09T18:22:22Z</t>
  </si>
  <si>
    <t>x42</t>
  </si>
  <si>
    <t>Robin Gareus</t>
  </si>
  <si>
    <t>2008-10-21T22:05:01Z</t>
  </si>
  <si>
    <t>blueyed</t>
  </si>
  <si>
    <t>Daniel Hahler</t>
  </si>
  <si>
    <t>FREELANCER, UP FOR HIRE</t>
  </si>
  <si>
    <t>github@thequod.de</t>
  </si>
  <si>
    <t>Loving Python, terminals and good DevOps workflows._x000D_
Support me via Bitcoin (18mYKFCYgpWREUW3QtgQXP19CkfyZ1Nce8), or Flattr.</t>
  </si>
  <si>
    <t>2008-05-09T07:24:46Z</t>
  </si>
  <si>
    <t>peterp</t>
  </si>
  <si>
    <t>Peter Pistorius</t>
  </si>
  <si>
    <t>SNAPLET @REDWOODJS</t>
  </si>
  <si>
    <t xml:space="preserve">Building https://www.snaplet.dev, co-creator of @redwoodjs </t>
  </si>
  <si>
    <t>2009-01-07T14:40:05Z</t>
  </si>
  <si>
    <t>marinalimeira</t>
  </si>
  <si>
    <t>Marina</t>
  </si>
  <si>
    <t>GRIFFINBANK</t>
  </si>
  <si>
    <t xml:space="preserve">Software engineer at @griffinbank </t>
  </si>
  <si>
    <t>2014-10-24T17:17:27Z</t>
  </si>
  <si>
    <t>metalmatze</t>
  </si>
  <si>
    <t>Matthias Loibl</t>
  </si>
  <si>
    <t>mail@matthiasloibl.com</t>
  </si>
  <si>
    <t xml:space="preserve">Director of @polarsignals Cloud._x000D_
Interested in web development, distributed systems, and metal. </t>
  </si>
  <si>
    <t>2011-06-24T01:30:32Z</t>
  </si>
  <si>
    <t>segunfamisa</t>
  </si>
  <si>
    <t>Segun Famisa</t>
  </si>
  <si>
    <t>segunfamisa@gmail.com</t>
  </si>
  <si>
    <t>2012-08-10T16:35:27Z</t>
  </si>
  <si>
    <t>stefanw</t>
  </si>
  <si>
    <t>Stefan Wehrmeyer</t>
  </si>
  <si>
    <t>2009-04-27T14:29:16Z</t>
  </si>
  <si>
    <t>ethanfrey</t>
  </si>
  <si>
    <t>Ethan Frey</t>
  </si>
  <si>
    <t>2013-10-15T09:30:08Z</t>
  </si>
  <si>
    <t>PragTob</t>
  </si>
  <si>
    <t>Tobias Pfeiffer</t>
  </si>
  <si>
    <t>REMOTE.COM</t>
  </si>
  <si>
    <t>pragtob@gmail.com</t>
  </si>
  <si>
    <t>Likes people. Teamplayer, Open Source Enthusiast, Software Developer, TDDer, Speaker. Ruby, Elixir, JavaScript. Runs RUG::B. Loves green.</t>
  </si>
  <si>
    <t>2011-02-08T10:31:59Z</t>
  </si>
  <si>
    <t>roidrage</t>
  </si>
  <si>
    <t>Mathias Meyer</t>
  </si>
  <si>
    <t>meyer@paperplanes.de</t>
  </si>
  <si>
    <t>I used to write code once, now I just write words.</t>
  </si>
  <si>
    <t>2008-04-06T08:53:03Z</t>
  </si>
  <si>
    <t>hwclass</t>
  </si>
  <si>
    <t>BarÄ±ÅŸ GÃ¼ler</t>
  </si>
  <si>
    <t>WURTH</t>
  </si>
  <si>
    <t>harderworking.class@gmail.com</t>
  </si>
  <si>
    <t>2013-03-02T20:06:36Z</t>
  </si>
  <si>
    <t>juanitorduz</t>
  </si>
  <si>
    <t>Juan Orduz</t>
  </si>
  <si>
    <t>WOLT / PYMC LABS</t>
  </si>
  <si>
    <t>juanitorduz@gmail.com</t>
  </si>
  <si>
    <t>Mathematician &amp; Data Scientist</t>
  </si>
  <si>
    <t>2016-10-22T10:23:38Z</t>
  </si>
  <si>
    <t>rdilruba</t>
  </si>
  <si>
    <t>Dilruba</t>
  </si>
  <si>
    <t>dilrubakose@gmail.com</t>
  </si>
  <si>
    <t>Software developer</t>
  </si>
  <si>
    <t>2017-01-30T14:44:09Z</t>
  </si>
  <si>
    <t>okwme</t>
  </si>
  <si>
    <t>billy rennekamp</t>
  </si>
  <si>
    <t>TRIFLE-LABS, @CLOVERS-NETWORK &amp; @FOLIA-APP PREV @COSMOS &amp; @INTERCHAINIO</t>
  </si>
  <si>
    <t>billy.rennekamp@gmail.com</t>
  </si>
  <si>
    <t>2011-08-07T05:56:16Z</t>
  </si>
  <si>
    <t>ivangfr</t>
  </si>
  <si>
    <t>Ivan Franchin</t>
  </si>
  <si>
    <t>2015-01-16T17:24:16Z</t>
  </si>
  <si>
    <t>abhishek-ch</t>
  </si>
  <si>
    <t>Abhishek Choudhary</t>
  </si>
  <si>
    <t xml:space="preserve">_x000D_
    Data Engineer and Data Science_x000D_
Working on several Big Data Technologies like Apache Spark, Hadoop, Kafka, Imapala, Apache Beam, Hive and others_x000D_
</t>
  </si>
  <si>
    <t>2014-05-14T09:57:08Z</t>
  </si>
  <si>
    <t>durran</t>
  </si>
  <si>
    <t>Durran Jordan</t>
  </si>
  <si>
    <t>MONGODB @10GEN</t>
  </si>
  <si>
    <t>Berlin, Deutschland</t>
  </si>
  <si>
    <t>durran@gmail.com</t>
  </si>
  <si>
    <t>2008-05-01T14:46:53Z</t>
  </si>
  <si>
    <t>aabouzaid</t>
  </si>
  <si>
    <t>Ahmed AbouZaid</t>
  </si>
  <si>
    <t>Tech Lead with Agility | M.Sc. in Data | Cloud-Native at Core | DevOps Transformation Advisor and Mentor | I enjoy helping businesses and individuals!</t>
  </si>
  <si>
    <t>2014-02-23T00:49:55Z</t>
  </si>
  <si>
    <t>chrisgrieser</t>
  </si>
  <si>
    <t>Chris Grieser</t>
  </si>
  <si>
    <t>TECHNICAL UNIVERSITY OF BERLIN</t>
  </si>
  <si>
    <t>Researcher in sociology &amp; SWE</t>
  </si>
  <si>
    <t>2020-10-22T10:50:35Z</t>
  </si>
  <si>
    <t>sagar-viradiya</t>
  </si>
  <si>
    <t>Sagar Viradiya</t>
  </si>
  <si>
    <t>sagarviradiya4444@gmail.com</t>
  </si>
  <si>
    <t>Google Developer Expert for Android | Co-organizer of GDG MAD</t>
  </si>
  <si>
    <t>2015-03-21T14:10:41Z</t>
  </si>
  <si>
    <t>DominicBreuker</t>
  </si>
  <si>
    <t>Dominic Breuker</t>
  </si>
  <si>
    <t>2013-10-29T15:19:34Z</t>
  </si>
  <si>
    <t>vertexclique</t>
  </si>
  <si>
    <t>Theo M. Bulut</t>
  </si>
  <si>
    <t>Î»x.Î»y.y â†’ Î»x.Î»z.z | compiler opt, _x000D_
 @rust-lang, and ML  | 0xD20F2F5E6DFD6F11 â€“ Different barb, same wire</t>
  </si>
  <si>
    <t>2011-01-22T22:31:40Z</t>
  </si>
  <si>
    <t>ahmedeltaher</t>
  </si>
  <si>
    <t>ahmed.mohamed</t>
  </si>
  <si>
    <t>SAP SE</t>
  </si>
  <si>
    <t>ahmed000eltaher@gmail.com</t>
  </si>
  <si>
    <t xml:space="preserve">Development Architect </t>
  </si>
  <si>
    <t>2012-06-03T12:38:01Z</t>
  </si>
  <si>
    <t>mxmxmx</t>
  </si>
  <si>
    <t>berlin</t>
  </si>
  <si>
    <t>...</t>
  </si>
  <si>
    <t>2013-05-26T08:33:37Z</t>
  </si>
  <si>
    <t>photoprism</t>
  </si>
  <si>
    <t>PhotoPrism</t>
  </si>
  <si>
    <t>hello@photoprism.app</t>
  </si>
  <si>
    <t>AI-Powered Photos App for the Decentralized Web. We are on a mission to protect your freedom and privacy.</t>
  </si>
  <si>
    <t>2017-10-01T16:01:01Z</t>
  </si>
  <si>
    <t>diessica</t>
  </si>
  <si>
    <t>brazilian utopian alien</t>
  </si>
  <si>
    <t>2013-08-24T23:40:04Z</t>
  </si>
  <si>
    <t>christophergandrud</t>
  </si>
  <si>
    <t>Christopher Gandrud</t>
  </si>
  <si>
    <t>SPOTIFY</t>
  </si>
  <si>
    <t>Personalization @spotify</t>
  </si>
  <si>
    <t>2011-12-26T07:27:16Z</t>
  </si>
  <si>
    <t>drogus</t>
  </si>
  <si>
    <t>Piotr Sarnacki</t>
  </si>
  <si>
    <t>CLOCKWORK LABS</t>
  </si>
  <si>
    <t>drogus@gmail.com</t>
  </si>
  <si>
    <t>2008-04-04T10:28:01Z</t>
  </si>
  <si>
    <t>tessr</t>
  </si>
  <si>
    <t>Tess Rinearson</t>
  </si>
  <si>
    <t>2011-05-07T07:36:59Z</t>
  </si>
  <si>
    <t>SimonDanisch</t>
  </si>
  <si>
    <t>Simon</t>
  </si>
  <si>
    <t>MAKIEORG</t>
  </si>
  <si>
    <t>Working on Julia, Graphics and GPUs</t>
  </si>
  <si>
    <t>2011-08-28T20:28:21Z</t>
  </si>
  <si>
    <t>KutayAkalin</t>
  </si>
  <si>
    <t>Kutay AkalÄ±n</t>
  </si>
  <si>
    <t>2017-09-28T11:36:22Z</t>
  </si>
  <si>
    <t>Ohara124c41</t>
  </si>
  <si>
    <t>Christopher Ohara</t>
  </si>
  <si>
    <t>DAILAB, @UDACITY</t>
  </si>
  <si>
    <t xml:space="preserve"> Tokyo â®€ Los Angeles â®€ Berlin</t>
  </si>
  <si>
    <t>cao36@njit.edu</t>
  </si>
  <si>
    <t>Roboticist and cybernetician. Specializes in (space) robotics, artificial intelligence, embedded systems, and mechatronics.</t>
  </si>
  <si>
    <t>2017-04-29T22:10:06Z</t>
  </si>
  <si>
    <t>IRCSS</t>
  </si>
  <si>
    <t>Shahriar Shahrabi</t>
  </si>
  <si>
    <t>sh.shahrabi@hotmail.com</t>
  </si>
  <si>
    <t xml:space="preserve">An Iranian technical artist and programmer. </t>
  </si>
  <si>
    <t>2016-04-22T11:56:21Z</t>
  </si>
  <si>
    <t>mntmn</t>
  </si>
  <si>
    <t>minute</t>
  </si>
  <si>
    <t>LUKAS F. HARTMANN / MNT RESEARCH GMBH</t>
  </si>
  <si>
    <t>lukas@mntmn.com</t>
  </si>
  <si>
    <t>2009-11-08T15:36:47Z</t>
  </si>
  <si>
    <t>ff6347</t>
  </si>
  <si>
    <t>Fabian MorÃ³n Zirfas</t>
  </si>
  <si>
    <t>HBK-BS</t>
  </si>
  <si>
    <t>ðŸ‘‹ðŸ½  I'm Fabian. I'm a creative technologist and educator @hbk-bs living in Berlin who occasionally does stuff that involves things.</t>
  </si>
  <si>
    <t>2010-06-26T09:38:16Z</t>
  </si>
  <si>
    <t>berinhard</t>
  </si>
  <si>
    <t>berin</t>
  </si>
  <si>
    <t>let's play that</t>
  </si>
  <si>
    <t>2010-04-06T19:53:33Z</t>
  </si>
  <si>
    <t>kianenigma</t>
  </si>
  <si>
    <t>Kian Paimani</t>
  </si>
  <si>
    <t>@rustlang dev @paritytech._x000D_
_x000D_
Parallel and Distributed Computer Systems @ VU Amsterdam.</t>
  </si>
  <si>
    <t>2013-10-01T18:16:39Z</t>
  </si>
  <si>
    <t>SuperQ</t>
  </si>
  <si>
    <t>Ben Kochie</t>
  </si>
  <si>
    <t>PROMETHEUS</t>
  </si>
  <si>
    <t>superq@gmail.com</t>
  </si>
  <si>
    <t>Bit Plumber</t>
  </si>
  <si>
    <t>2012-01-11T05:18:28Z</t>
  </si>
  <si>
    <t>gwens</t>
  </si>
  <si>
    <t>Gwenan Spearing</t>
  </si>
  <si>
    <t>VIMCAR</t>
  </si>
  <si>
    <t>gwenanspearing@hotmail.com</t>
  </si>
  <si>
    <t>2013-09-09T11:16:07Z</t>
  </si>
  <si>
    <t>hellosagar</t>
  </si>
  <si>
    <t>Sagar Khurana</t>
  </si>
  <si>
    <t>VIAEUROPE</t>
  </si>
  <si>
    <t xml:space="preserve"> Android App Developer ||  Open Source Enthusiast || AWS Amplify || GSoC'22 @ Robolectric</t>
  </si>
  <si>
    <t>2019-04-26T10:37:13Z</t>
  </si>
  <si>
    <t>tmbo</t>
  </si>
  <si>
    <t>Tom Bocklisch</t>
  </si>
  <si>
    <t>RASAHQ @SCALABLEMINDS</t>
  </si>
  <si>
    <t>tom@rasa.com</t>
  </si>
  <si>
    <t>Full time Principal Architect @RasaHQ and Fun time Co Founder @scalableminds</t>
  </si>
  <si>
    <t>2011-10-03T10:07:47Z</t>
  </si>
  <si>
    <t>delucis</t>
  </si>
  <si>
    <t>Chris Swithinbank</t>
  </si>
  <si>
    <t>WITHASTRO</t>
  </si>
  <si>
    <t>2010-08-07T23:44:28Z</t>
  </si>
  <si>
    <t>hanshuebner</t>
  </si>
  <si>
    <t>Hans HÃ¼bner</t>
  </si>
  <si>
    <t>hans.huebner@gmail.com</t>
  </si>
  <si>
    <t>2009-07-26T05:51:20Z</t>
  </si>
  <si>
    <t>ueberdosis</t>
  </si>
  <si>
    <t>Tiptap</t>
  </si>
  <si>
    <t>humans@tiptap.dev</t>
  </si>
  <si>
    <t>Developer toolkit for building collaborative apps</t>
  </si>
  <si>
    <t>2016-01-28T14:21:50Z</t>
  </si>
  <si>
    <t>almaleksia</t>
  </si>
  <si>
    <t>Ksenia Bobrova</t>
  </si>
  <si>
    <t>Ruby/Go</t>
  </si>
  <si>
    <t>2012-06-23T20:20:27Z</t>
  </si>
  <si>
    <t>hackebrot</t>
  </si>
  <si>
    <t>Raphael Aurich</t>
  </si>
  <si>
    <t>MOZILLA</t>
  </si>
  <si>
    <t>open-source developer ðŸ‘¨ðŸ»â€ðŸ’» member of @pytest-dev ðŸš€ staff software engineer at @mozilla ðŸ”¥ðŸ¦Š he/him</t>
  </si>
  <si>
    <t>2013-11-24T16:39:52Z</t>
  </si>
  <si>
    <t>AlexDenisov</t>
  </si>
  <si>
    <t>Alex Denisov</t>
  </si>
  <si>
    <t>FLEXAIHQ</t>
  </si>
  <si>
    <t>alex@lowlevelbits.org</t>
  </si>
  <si>
    <t>Talking to machines</t>
  </si>
  <si>
    <t>2011-11-06T09:23:32Z</t>
  </si>
  <si>
    <t>danascript</t>
  </si>
  <si>
    <t>Daniela</t>
  </si>
  <si>
    <t>Hi! ðŸ‘‹  I used to be an architect and now I code for a living. I create content and tutorials so that others could make a similar switch too.</t>
  </si>
  <si>
    <t>2016-09-17T11:11:48Z</t>
  </si>
  <si>
    <t>tarek360</t>
  </si>
  <si>
    <t>Ahmed Tarek</t>
  </si>
  <si>
    <t>a.tarek360@gmail.com</t>
  </si>
  <si>
    <t>I enjoy pushing the limits of the Android development. I write to learn, I learn to share and I share to learn more._x000D_
Twitter: a_tarek360</t>
  </si>
  <si>
    <t>2014-09-01T13:53:21Z</t>
  </si>
  <si>
    <t>tillrohrmann</t>
  </si>
  <si>
    <t>Till Rohrmann</t>
  </si>
  <si>
    <t>RESTATE</t>
  </si>
  <si>
    <t>trohrmann@apache.org</t>
  </si>
  <si>
    <t>Trying to make building distributed systems simpler again with @restatedev. Apache Flink PMC member.</t>
  </si>
  <si>
    <t>2013-10-23T14:02:45Z</t>
  </si>
  <si>
    <t>sschuberth</t>
  </si>
  <si>
    <t>Sebastian Schuberth</t>
  </si>
  <si>
    <t>CEO &amp; CTO OF @DOUBLEOPEN-PROJECT</t>
  </si>
  <si>
    <t>A Kotlin enthusiast who's enjoying to work with and on Open Source Software.</t>
  </si>
  <si>
    <t>2010-07-30T10:42:04Z</t>
  </si>
  <si>
    <t>esc</t>
  </si>
  <si>
    <t>Emergency Self-Construct</t>
  </si>
  <si>
    <t>virtual entity ðŸ’£ðŸ’£ðŸ’£ðŸ’£</t>
  </si>
  <si>
    <t>2008-12-19T11:43:31Z</t>
  </si>
  <si>
    <t>mrackwitz</t>
  </si>
  <si>
    <t>Marius Rackwitz</t>
  </si>
  <si>
    <t>WELLSPENT</t>
  </si>
  <si>
    <t>Remote | Berlin, Germany</t>
  </si>
  <si>
    <t>Cofounder @nlbb / Wellspent._x000D_
_x000D_
Email me to:_x000D_
contactï¼ $firstName$lastName.de</t>
  </si>
  <si>
    <t>2012-01-29T12:44:28Z</t>
  </si>
  <si>
    <t>hagenburger</t>
  </si>
  <si>
    <t>Nico Hagenburger</t>
  </si>
  <si>
    <t>TYPEFACE DESIGNER, DESIGN SYSTEMS LEAD</t>
  </si>
  <si>
    <t>Design Systems Lead at WIFI@DB (@DeutscheBahnAG), former DS @heremaps, mentor for #RGSoC for PIMD &amp; @LSGorg, typeface designer, U-Bahn nerd.</t>
  </si>
  <si>
    <t>2009-07-09T21:15:30Z</t>
  </si>
  <si>
    <t>gusgad</t>
  </si>
  <si>
    <t>Guseyn Gadirov</t>
  </si>
  <si>
    <t>gusgadirov@gmail.com</t>
  </si>
  <si>
    <t>2015-12-06T20:08:37Z</t>
  </si>
  <si>
    <t>w0rm</t>
  </si>
  <si>
    <t>Andrey Kuzmin</t>
  </si>
  <si>
    <t>hi@unsoundscapes.com</t>
  </si>
  <si>
    <t xml:space="preserve">_x000D_
    I &lt;3 concerts, yoga &amp; functional programming. _x000D_
</t>
  </si>
  <si>
    <t>2008-12-31T08:00:57Z</t>
  </si>
  <si>
    <t>cpanato</t>
  </si>
  <si>
    <t>Carlos Tadeu Panato Junior</t>
  </si>
  <si>
    <t>CHAINGUARD-DEV</t>
  </si>
  <si>
    <t>ctadeu@gmail.com</t>
  </si>
  <si>
    <t>2013-04-10T13:39:08Z</t>
  </si>
  <si>
    <t>azproduction</t>
  </si>
  <si>
    <t>Mikhail Davydov</t>
  </si>
  <si>
    <t>ARRIVAL GERMANY GMBH</t>
  </si>
  <si>
    <t>2010-11-16T13:48:46Z</t>
  </si>
  <si>
    <t>ForsakenHarmony</t>
  </si>
  <si>
    <t>hrmny</t>
  </si>
  <si>
    <t>SOFTWARE ENGINEER @VERCEL</t>
  </si>
  <si>
    <t>@preactjs core team | â¤ï¸ @rust-lang</t>
  </si>
  <si>
    <t>2014-09-20T21:12:59Z</t>
  </si>
  <si>
    <t>lucasmichot</t>
  </si>
  <si>
    <t>Lucas Michot</t>
  </si>
  <si>
    <t>2010-12-07T19:37:57Z</t>
  </si>
  <si>
    <t>jrieke</t>
  </si>
  <si>
    <t>Johannes Rieke</t>
  </si>
  <si>
    <t>STREAMLIT</t>
  </si>
  <si>
    <t>johannes.rieke@gmail.com</t>
  </si>
  <si>
    <t>Product manager @streamlit</t>
  </si>
  <si>
    <t>2013-07-27T16:04:45Z</t>
  </si>
  <si>
    <t>slint-ui</t>
  </si>
  <si>
    <t>Slint</t>
  </si>
  <si>
    <t>info@slint.dev</t>
  </si>
  <si>
    <t>Slint - Declarative GUI for Rust, C++, and JavaScript</t>
  </si>
  <si>
    <t>2020-05-03T15:35:02Z</t>
  </si>
  <si>
    <t>lastzero</t>
  </si>
  <si>
    <t>Michael Mayer</t>
  </si>
  <si>
    <t>PHOTOPRISM</t>
  </si>
  <si>
    <t>michael@photoprism.app</t>
  </si>
  <si>
    <t>Started coding on an Atari 1040 ST, survived Usenet, and got involved with the Web and Open Source in the early 90s. Simple is beautiful.</t>
  </si>
  <si>
    <t>2010-06-10T09:26:44Z</t>
  </si>
  <si>
    <t>ndom91</t>
  </si>
  <si>
    <t>Nico Domino</t>
  </si>
  <si>
    <t>CEO of HTML</t>
  </si>
  <si>
    <t>2014-04-26T19:35:49Z</t>
  </si>
  <si>
    <t>opf</t>
  </si>
  <si>
    <t>OpenProject</t>
  </si>
  <si>
    <t>info@openproject.org</t>
  </si>
  <si>
    <t>2012-05-20T12:56:12Z</t>
  </si>
  <si>
    <t>adbar</t>
  </si>
  <si>
    <t>Adrien Barbaresi</t>
  </si>
  <si>
    <t>BERLIN-BRG. ACADEMY OF SCIENCES (BBAW)</t>
  </si>
  <si>
    <t>Research scientist â€“ natural language processing, web scraping and text analytics. Mostly with Python.</t>
  </si>
  <si>
    <t>2012-08-09T21:18:46Z</t>
  </si>
  <si>
    <t>krother</t>
  </si>
  <si>
    <t>Kristian Rother</t>
  </si>
  <si>
    <t>ACADEMIS</t>
  </si>
  <si>
    <t>krother@academis.eu</t>
  </si>
  <si>
    <t>Data Science Teacher &amp; Developer. Based in Berlin. Teaching Python since 2002. Wrote "Pro Python Best Practices" (APress).</t>
  </si>
  <si>
    <t>2009-07-31T15:30:47Z</t>
  </si>
  <si>
    <t>jpkrohling</t>
  </si>
  <si>
    <t>Juraci PaixÃ£o KrÃ¶hling</t>
  </si>
  <si>
    <t>juraci.kroehling@grafana.com</t>
  </si>
  <si>
    <t>2008-06-11T18:30:43Z</t>
  </si>
  <si>
    <t>turian</t>
  </si>
  <si>
    <t>Joseph Turian</t>
  </si>
  <si>
    <t>Berlin + New York</t>
  </si>
  <si>
    <t>Deep learning, NLP, audio AI ðŸ§‘â€ðŸ”¬_x000D_
_x000D_
Postdoc under Bengio ðŸ§‘â€ðŸŽ“_x000D_
_x000D_
ACL 10 Year Test of Time Award (lead author) ðŸŒŸ when art meets science... ðŸ‘©â€ðŸŽ¤</t>
  </si>
  <si>
    <t>2009-03-23T03:08:08Z</t>
  </si>
  <si>
    <t>fritzing</t>
  </si>
  <si>
    <t>Fritzing</t>
  </si>
  <si>
    <t>info@fritzing.org</t>
  </si>
  <si>
    <t>electronics made easy</t>
  </si>
  <si>
    <t>2014-08-26T22:13:42Z</t>
  </si>
  <si>
    <t>afuh</t>
  </si>
  <si>
    <t>Axel Fuhrmann</t>
  </si>
  <si>
    <t>UP42</t>
  </si>
  <si>
    <t>2017-01-17T09:47:08Z</t>
  </si>
  <si>
    <t>prof18</t>
  </si>
  <si>
    <t>Marco Gomiero</t>
  </si>
  <si>
    <t>AIRALO</t>
  </si>
  <si>
    <t>Senior Android Developer @ Airalo â€¢ Kotlin Google Developer Expert â€¢ Android &amp; Kotlin Lover, fan of Kotlin Multiplatform</t>
  </si>
  <si>
    <t>2014-10-30T18:32:43Z</t>
  </si>
  <si>
    <t>ManiMozaffar</t>
  </si>
  <si>
    <t>Mani Mozaffar</t>
  </si>
  <si>
    <t>NOAH LABS</t>
  </si>
  <si>
    <t>mani.mozaffar@gmail.com</t>
  </si>
  <si>
    <t>2021-07-04T10:59:37Z</t>
  </si>
  <si>
    <t>timpritlove</t>
  </si>
  <si>
    <t>Tim Pritlove</t>
  </si>
  <si>
    <t>METAEBENE PERSONAL MEDIA</t>
  </si>
  <si>
    <t xml:space="preserve">Dedicated Podcaster. Professional Amateur. Discordian Evangelist._x000D_
_x000D_
Catering to the public at @metaebene @podlove @blinkenlights </t>
  </si>
  <si>
    <t>2009-08-26T11:05:05Z</t>
  </si>
  <si>
    <t>andywer</t>
  </si>
  <si>
    <t>Andy Wermke</t>
  </si>
  <si>
    <t>Engineer and co-founder. Node.js since 2011, React since 2014, Python, some Rust, C/C++/Java/Assembler/PHP earlier. Into #ai, #blockchain and #cryptography</t>
  </si>
  <si>
    <t>2012-06-12T12:59:01Z</t>
  </si>
  <si>
    <t>schriftgestalt</t>
  </si>
  <si>
    <t>Georg Seifert</t>
  </si>
  <si>
    <t>GLYPHSAPP GMBH</t>
  </si>
  <si>
    <t>2009-12-31T12:31:06Z</t>
  </si>
  <si>
    <t>aksakalli</t>
  </si>
  <si>
    <t>Can GÃ¼ney Aksakalli</t>
  </si>
  <si>
    <t>ZALANDO EX @TOMTOM-INTERNATIONAL</t>
  </si>
  <si>
    <t>can.aksakalli@rwth-aachen.de</t>
  </si>
  <si>
    <t>2012-07-08T18:52:42Z</t>
  </si>
  <si>
    <t>MoeinDeveloper92</t>
  </si>
  <si>
    <t>Moein</t>
  </si>
  <si>
    <t>Germany-Berlin</t>
  </si>
  <si>
    <t>MERN Stack Developer, and life long learner._x000D_
Skills:_x000D_
1:JavaScript_x000D_
2:React/React-Native_x000D_
3:MongoDB/Mongoose/SQL_x000D_
5:NodeJs/Nestjs/API/RESTAPI_x000D_
6:Security skill</t>
  </si>
  <si>
    <t>2022-06-21T19:30:56Z</t>
  </si>
  <si>
    <t>cjolowicz</t>
  </si>
  <si>
    <t>Claudio Jolowicz</t>
  </si>
  <si>
    <t>CLOUDFLARE</t>
  </si>
  <si>
    <t>2011-03-06T13:41:22Z</t>
  </si>
  <si>
    <t>StephanEwen</t>
  </si>
  <si>
    <t>Stephan Ewen</t>
  </si>
  <si>
    <t>RESTATE, APACHE FLINK</t>
  </si>
  <si>
    <t>2012-05-10T16:06:11Z</t>
  </si>
  <si>
    <t>boennemann</t>
  </si>
  <si>
    <t>Stephan BÃ¶nnemann-Walenta</t>
  </si>
  <si>
    <t>PROSPERITY-TECH</t>
  </si>
  <si>
    <t>Berlin, Europe</t>
  </si>
  <si>
    <t>me@sbw.one</t>
  </si>
  <si>
    <t>Co-CEO @prosperity-tech._x000D_
_x000D_
Formerly @semantic-release, @conc-at, @greenkeeperio, @hoodiehq.</t>
  </si>
  <si>
    <t>2011-07-11T16:19:53Z</t>
  </si>
  <si>
    <t>TheLartians</t>
  </si>
  <si>
    <t>Lars Melchior</t>
  </si>
  <si>
    <t>Hey there! I'm a physicist, entrepreneur and full stack engineer based in Berlin.</t>
  </si>
  <si>
    <t>2013-05-15T12:15:54Z</t>
  </si>
  <si>
    <t>ravanscafi</t>
  </si>
  <si>
    <t>Ravan Scafi</t>
  </si>
  <si>
    <t xml:space="preserve">backend engineer @hellofresh ~ organizer @laravelsp ~ evangelist @PHPSP_x000D_
</t>
  </si>
  <si>
    <t>2013-12-04T11:26:39Z</t>
  </si>
  <si>
    <t>turbo</t>
  </si>
  <si>
    <t>Pierre</t>
  </si>
  <si>
    <t>turbo@github.com</t>
  </si>
  <si>
    <t>Product at @GitHub (CodeQL code scanning)</t>
  </si>
  <si>
    <t>2014-06-30T07:05:19Z</t>
  </si>
  <si>
    <t>guitmz</t>
  </si>
  <si>
    <t>Guilherme</t>
  </si>
  <si>
    <t>DEVSBB</t>
  </si>
  <si>
    <t>thomazi@linux.com</t>
  </si>
  <si>
    <t>xor rsp, rsp</t>
  </si>
  <si>
    <t>2013-05-29T14:16:38Z</t>
  </si>
  <si>
    <t>gumb0</t>
  </si>
  <si>
    <t>Andrei Maiboroda</t>
  </si>
  <si>
    <t>ETHEREUM @IPSILON</t>
  </si>
  <si>
    <t>2012-06-18T15:06:52Z</t>
  </si>
  <si>
    <t>squat</t>
  </si>
  <si>
    <t>Lucas ServÃ©n MarÃ­n</t>
  </si>
  <si>
    <t>working on Kubernetes, Prometheus, and Thanos</t>
  </si>
  <si>
    <t>2016-07-16T00:48:40Z</t>
  </si>
  <si>
    <t>zubairehman</t>
  </si>
  <si>
    <t>Zubair Rehman</t>
  </si>
  <si>
    <t>CHOCO</t>
  </si>
  <si>
    <t>zubairehman.work@gmail.com</t>
  </si>
  <si>
    <t>Android | Flutter Developer</t>
  </si>
  <si>
    <t>2014-06-17T17:49:59Z</t>
  </si>
  <si>
    <t>burnash</t>
  </si>
  <si>
    <t>Anton Burnashev</t>
  </si>
  <si>
    <t>2010-05-04T16:00:14Z</t>
  </si>
  <si>
    <t>lisacharlotterost</t>
  </si>
  <si>
    <t>Lisa Charlotte Muth</t>
  </si>
  <si>
    <t>DATAWRAPPER</t>
  </si>
  <si>
    <t>lisacharlotterost@gmail.com</t>
  </si>
  <si>
    <t>Creating, blogging &amp; talking about data viz. #visber organizer. Interested in beauty. Fan of numbers, systems &amp; overviews. I believe in maps, not the territory.</t>
  </si>
  <si>
    <t>2014-10-24T09:32:15Z</t>
  </si>
  <si>
    <t>TimDaub</t>
  </si>
  <si>
    <t>Tim DaubenschÃ¼tz</t>
  </si>
  <si>
    <t>ATTESTATE</t>
  </si>
  <si>
    <t>tim@daubenschuetz.de</t>
  </si>
  <si>
    <t>I solidify things</t>
  </si>
  <si>
    <t>2012-11-09T11:27:36Z</t>
  </si>
  <si>
    <t>lgrammel</t>
  </si>
  <si>
    <t>Lars Grammel</t>
  </si>
  <si>
    <t>2010-02-17T03:06:55Z</t>
  </si>
  <si>
    <t>kkaefer</t>
  </si>
  <si>
    <t>Konstantin KÃ¤fer</t>
  </si>
  <si>
    <t>MAPBOX</t>
  </si>
  <si>
    <t>mail@kkaefer.com</t>
  </si>
  <si>
    <t>2009-02-06T17:39:03Z</t>
  </si>
  <si>
    <t>axsaucedo</t>
  </si>
  <si>
    <t>Alejandro Saucedo</t>
  </si>
  <si>
    <t>ETHICALML @ZALANDO</t>
  </si>
  <si>
    <t>@Zalando Director of Eng, Science, Product &amp; Analytics | Chair / Advisor at UN, ACM, LF, etc</t>
  </si>
  <si>
    <t>2012-02-17T18:52:14Z</t>
  </si>
  <si>
    <t>Skn0tt</t>
  </si>
  <si>
    <t>Simon Knott</t>
  </si>
  <si>
    <t>info@simonknott.de</t>
  </si>
  <si>
    <t>Working on Microsoft Playwright.</t>
  </si>
  <si>
    <t>2015-09-30T18:49:46Z</t>
  </si>
  <si>
    <t>brauner</t>
  </si>
  <si>
    <t>Christian Brauner</t>
  </si>
  <si>
    <t>christian@brauner.io</t>
  </si>
  <si>
    <t xml:space="preserve">@lxc </t>
  </si>
  <si>
    <t>2014-04-20T14:29:57Z</t>
  </si>
  <si>
    <t>aap</t>
  </si>
  <si>
    <t>Retrocomputerist, Computer Scientist, ex-GTA hacker and Indo-Europeanist</t>
  </si>
  <si>
    <t>2012-03-09T21:06:13Z</t>
  </si>
  <si>
    <t>Fcmam5</t>
  </si>
  <si>
    <t>Fortas Abdeldjalil</t>
  </si>
  <si>
    <t>A part-time Karantika lover</t>
  </si>
  <si>
    <t>2014-10-08T18:44:57Z</t>
  </si>
  <si>
    <t>juliuste</t>
  </si>
  <si>
    <t>Julius Tens</t>
  </si>
  <si>
    <t>Berlin, European Union</t>
  </si>
  <si>
    <t>mail@juliustens.eu</t>
  </si>
  <si>
    <t>Advocating for Open Data in public transportation._x000D_
_x000D_
Currently not too responsive for personal reasons, I'm really sorry._x000D_
_x000D_
Languages: ðŸ‡©ðŸ‡ªðŸ‡¬ðŸ‡§ðŸ‡«ðŸ‡·_x000D_
he/they</t>
  </si>
  <si>
    <t>2012-03-28T17:07:19Z</t>
  </si>
  <si>
    <t>acao</t>
  </si>
  <si>
    <t>Rikki Schulte</t>
  </si>
  <si>
    <t xml:space="preserve"> ðŸ³ï¸â€ðŸŒˆ ðŸ³ï¸â€âš§ï¸ ðŸ§œðŸ»â€â™€ï¸_x000D_
_x000D_
Available for consulting!</t>
  </si>
  <si>
    <t>2012-01-22T20:15:24Z</t>
  </si>
  <si>
    <t>mrtazz</t>
  </si>
  <si>
    <t>Daniel Schauenberg</t>
  </si>
  <si>
    <t>mrtazz@github.com</t>
  </si>
  <si>
    <t>a cheap trick and a cheesy one-liner. computer person. owner @ my opinions. feminist</t>
  </si>
  <si>
    <t>2009-03-28T17:06:12Z</t>
  </si>
  <si>
    <t>weaveworks</t>
  </si>
  <si>
    <t>Weaveworks</t>
  </si>
  <si>
    <t>London, Berlin, NY, Colorado, SF, Remote</t>
  </si>
  <si>
    <t>weaving containers into applications</t>
  </si>
  <si>
    <t>2014-11-27T11:49:24Z</t>
  </si>
  <si>
    <t>cloudpanel-io</t>
  </si>
  <si>
    <t>MGT-COMMERCE GMBH</t>
  </si>
  <si>
    <t>2019-08-08T11:51:48Z</t>
  </si>
  <si>
    <t>fehmicansaglam</t>
  </si>
  <si>
    <t>Fehmi Can SaÄŸlam</t>
  </si>
  <si>
    <t>TRENDYOL</t>
  </si>
  <si>
    <t>fehmican.saglam@gmail.com</t>
  </si>
  <si>
    <t>Coder.</t>
  </si>
  <si>
    <t>2010-10-20T00:21:12Z</t>
  </si>
  <si>
    <t>runningcode</t>
  </si>
  <si>
    <t>Nelson Osacky</t>
  </si>
  <si>
    <t>GRADLE</t>
  </si>
  <si>
    <t>2010-07-15T02:53:25Z</t>
  </si>
  <si>
    <t>whoenig</t>
  </si>
  <si>
    <t>Wolfgang HÃ¶nig</t>
  </si>
  <si>
    <t>TECHNICAL UNIVERSITY BERLIN</t>
  </si>
  <si>
    <t>2013-02-16T21:42:32Z</t>
  </si>
  <si>
    <t>baptistebriel</t>
  </si>
  <si>
    <t>Baptiste Briel</t>
  </si>
  <si>
    <t>CREATIVE DEVELOPER</t>
  </si>
  <si>
    <t>amsterdam / berlin</t>
  </si>
  <si>
    <t>2012-10-01T15:26:58Z</t>
  </si>
  <si>
    <t>fortmarek</t>
  </si>
  <si>
    <t>Marek FoÅ™t</t>
  </si>
  <si>
    <t>marekfort@me.com</t>
  </si>
  <si>
    <t>2014-10-23T19:48:33Z</t>
  </si>
  <si>
    <t>laramartin</t>
  </si>
  <si>
    <t>Lara Martin</t>
  </si>
  <si>
    <t>Android Developer Â· Queen of Code Deprecation</t>
  </si>
  <si>
    <t>2015-08-21T13:51:35Z</t>
  </si>
  <si>
    <t>ashiishme</t>
  </si>
  <si>
    <t>Ashish Yadav</t>
  </si>
  <si>
    <t>JUSTEATTAKEAWAY</t>
  </si>
  <si>
    <t xml:space="preserve">ðŸ‘¨â€ðŸ’» Software Engineer @ JustEatTakeaway.com | Open Source </t>
  </si>
  <si>
    <t>2016-03-28T07:29:13Z</t>
  </si>
  <si>
    <t>MarkusH</t>
  </si>
  <si>
    <t>Markus Holtermann</t>
  </si>
  <si>
    <t>@django Core Developer, @djangocon Australia 2018-2020 organizer, @EuroPython 2014 organizer, TU Berlin Alumni</t>
  </si>
  <si>
    <t>2010-11-10T12:13:13Z</t>
  </si>
  <si>
    <t>jhass</t>
  </si>
  <si>
    <t>Jonne HaÃŸ</t>
  </si>
  <si>
    <t>me@jhass.eu</t>
  </si>
  <si>
    <t>2009-10-18T14:00:48Z</t>
  </si>
  <si>
    <t>imskr</t>
  </si>
  <si>
    <t>Shubham Kumar</t>
  </si>
  <si>
    <t>hello@shubham-kumar.com</t>
  </si>
  <si>
    <t>Backend Engineer at GitLab | GSoC 2021 @gitlabhq and GSoC 2020 @mozilla</t>
  </si>
  <si>
    <t>2018-08-03T09:39:56Z</t>
  </si>
  <si>
    <t>soundcloud</t>
  </si>
  <si>
    <t>SoundCloud</t>
  </si>
  <si>
    <t>2008-08-18T14:13:13Z</t>
  </si>
  <si>
    <t>RomelTorres</t>
  </si>
  <si>
    <t>Romel Torres</t>
  </si>
  <si>
    <t>MBITION (MERCEDES BENZ INNOVATION LAB)</t>
  </si>
  <si>
    <t>I am Msc. in Embedded Computing Systems who loves Open Source. My interests are NLP, Voice Assistants, Open QA systems and Embedded Linux</t>
  </si>
  <si>
    <t>2012-02-09T19:34:16Z</t>
  </si>
  <si>
    <t>andela-sjames</t>
  </si>
  <si>
    <t>samuelvarejames</t>
  </si>
  <si>
    <t>ELATEC GMBH</t>
  </si>
  <si>
    <t>samuelvarejames@gmail.com</t>
  </si>
  <si>
    <t>Full-Stack Software Engineer.</t>
  </si>
  <si>
    <t>2015-07-08T07:42:30Z</t>
  </si>
  <si>
    <t>chrisguttandin</t>
  </si>
  <si>
    <t>Christoph Guttandin</t>
  </si>
  <si>
    <t>2009-11-26T07:36:51Z</t>
  </si>
  <si>
    <t>jamiehannaford</t>
  </si>
  <si>
    <t>Jamie Hannaford</t>
  </si>
  <si>
    <t>2012-06-19T11:13:53Z</t>
  </si>
  <si>
    <t>laf0rge</t>
  </si>
  <si>
    <t>Harald Welte</t>
  </si>
  <si>
    <t>SYSMOCOM</t>
  </si>
  <si>
    <t>laforge@gnumonks.org</t>
  </si>
  <si>
    <t>ex-netfilter, ex-Linux-Kernel, ex-Openmoko, founder of @osmocom , OpenBSC, OsmocomBB and other FOSS for cellular communications.</t>
  </si>
  <si>
    <t>2011-12-08T16:21:19Z</t>
  </si>
  <si>
    <t>Pisush</t>
  </si>
  <si>
    <t>Natalie</t>
  </si>
  <si>
    <t>2014-05-15T13:07:11Z</t>
  </si>
  <si>
    <t>ym</t>
  </si>
  <si>
    <t>Aveline</t>
  </si>
  <si>
    <t>MISAKAIO</t>
  </si>
  <si>
    <t>g@xswan.net</t>
  </si>
  <si>
    <t>Too young too simple, sometimes naÃ¯ve.</t>
  </si>
  <si>
    <t>2010-08-03T05:32:05Z</t>
  </si>
  <si>
    <t>MichaelKreil</t>
  </si>
  <si>
    <t>Michael Kreil</t>
  </si>
  <si>
    <t>github_contact@michael-kreil.de</t>
  </si>
  <si>
    <t>data journalist</t>
  </si>
  <si>
    <t>2011-08-26T18:46:51Z</t>
  </si>
  <si>
    <t>perusio</t>
  </si>
  <si>
    <t>AntÃ³nio P. P. Almeida</t>
  </si>
  <si>
    <t>Information Security Manager at UP42 GmbH</t>
  </si>
  <si>
    <t>2008-12-11T04:02:53Z</t>
  </si>
  <si>
    <t>alexbeletsky</t>
  </si>
  <si>
    <t>Alexander Beletsky</t>
  </si>
  <si>
    <t>BLOGFOSTER, @SOCIALSEARCHIO</t>
  </si>
  <si>
    <t>alexander.beletsky@gmail.com</t>
  </si>
  <si>
    <t>2010-06-14T15:26:52Z</t>
  </si>
  <si>
    <t>marcinguy</t>
  </si>
  <si>
    <t>Marcin Kozlowski</t>
  </si>
  <si>
    <t>marcinguy@gmail.com</t>
  </si>
  <si>
    <t>IT</t>
  </si>
  <si>
    <t>2016-07-08T11:14:01Z</t>
  </si>
  <si>
    <t>martinklepsch</t>
  </si>
  <si>
    <t>Martin Klepsch</t>
  </si>
  <si>
    <t>martinklepsch@googlemail.com</t>
  </si>
  <si>
    <t>2009-06-21T11:06:13Z</t>
  </si>
  <si>
    <t>janeczku</t>
  </si>
  <si>
    <t>Jan B</t>
  </si>
  <si>
    <t>RANCHER</t>
  </si>
  <si>
    <t>2013-03-09T01:09:46Z</t>
  </si>
  <si>
    <t>fractaledmind</t>
  </si>
  <si>
    <t>Stephen Margheim</t>
  </si>
  <si>
    <t>stephen.margheim@gmail.com</t>
  </si>
  <si>
    <t>Hey, Iâ€™m Stephen. I'm an American expat living in Berlin with my wife and two dogs. I am a contributor to Rails and the sqlite3-ruby gem as well as the maintain</t>
  </si>
  <si>
    <t>2013-07-24T00:32:35Z</t>
  </si>
  <si>
    <t>manojpandey</t>
  </si>
  <si>
    <t>Manoj Pandey</t>
  </si>
  <si>
    <t>SELF-EMPLOYED</t>
  </si>
  <si>
    <t>manojpandey1996@gmail.com</t>
  </si>
  <si>
    <t>Currently: null;_x000D_
Prev: Plan A, @instana/@IBM @celeraone @Yelp @andrepeat @squadstack / Founder &amp; Organizer @pydatadelhi /_x000D_
Developer with a knack for Design</t>
  </si>
  <si>
    <t>2013-06-20T15:25:22Z</t>
  </si>
  <si>
    <t>doctolib</t>
  </si>
  <si>
    <t>Doctolib</t>
  </si>
  <si>
    <t>Paris, Berlin</t>
  </si>
  <si>
    <t>Our mission is to contribute to transforming healthcare with an innovative approach. Learn more about our engineering team on our career page.</t>
  </si>
  <si>
    <t>2013-10-31T14:17:39Z</t>
  </si>
  <si>
    <t>fineanmol</t>
  </si>
  <si>
    <t>ANMOL AGARWAL</t>
  </si>
  <si>
    <t>React Developer ðŸ’» || JS Lover â¤ï¸ || Python Scripter  || I love building software, contributing to open source projects and tinkering with new ideas.</t>
  </si>
  <si>
    <t>2016-12-27T14:53:34Z</t>
  </si>
  <si>
    <t>gorgos</t>
  </si>
  <si>
    <t>Markus Waas</t>
  </si>
  <si>
    <t>INJECTIVELABS</t>
  </si>
  <si>
    <t>Berlin, Germany / Auckland, New Zealand</t>
  </si>
  <si>
    <t>mail@markuswaas.com</t>
  </si>
  <si>
    <t>Solidity / Blockchain Engineer</t>
  </si>
  <si>
    <t>2011-03-09T08:14:25Z</t>
  </si>
  <si>
    <t>traumverloren</t>
  </si>
  <si>
    <t>Stephanie</t>
  </si>
  <si>
    <t>I ðŸ’– building weird stuff w/ LEDs, raspberry pi, arduinos âš¡ï¸ i speak at tech confs sometimes. âœ¨ proudly adhd/neurodivergent</t>
  </si>
  <si>
    <t>2014-11-26T08:17:41Z</t>
  </si>
  <si>
    <t>syllog1sm</t>
  </si>
  <si>
    <t>honnibal@gmail.com</t>
  </si>
  <si>
    <t>My main profile is @honnibal</t>
  </si>
  <si>
    <t>2011-05-11T10:02:02Z</t>
  </si>
  <si>
    <t>jackschaedler</t>
  </si>
  <si>
    <t>Jack Schaedler</t>
  </si>
  <si>
    <t>jwschaedler@gmail.com</t>
  </si>
  <si>
    <t>2010-08-16T03:51:32Z</t>
  </si>
  <si>
    <t>dirkschumacher</t>
  </si>
  <si>
    <t>Dirk Schumacher</t>
  </si>
  <si>
    <t>mail@dirk-schumacher.net</t>
  </si>
  <si>
    <t>2012-03-23T22:06:49Z</t>
  </si>
  <si>
    <t>ngoduykhanh</t>
  </si>
  <si>
    <t>Khanh Ngo</t>
  </si>
  <si>
    <t>k@ndk.name</t>
  </si>
  <si>
    <t>2014-01-20T05:06:06Z</t>
  </si>
  <si>
    <t>sdepold</t>
  </si>
  <si>
    <t>Sascha Depold</t>
  </si>
  <si>
    <t>EBAY GMBH</t>
  </si>
  <si>
    <t>2009-04-29T13:39:42Z</t>
  </si>
  <si>
    <t>smurawski</t>
  </si>
  <si>
    <t>Steven Murawski</t>
  </si>
  <si>
    <t>MICROSOFT @AZURE</t>
  </si>
  <si>
    <t>New Berlin, WI</t>
  </si>
  <si>
    <t>steven.murawski@microsoft.com</t>
  </si>
  <si>
    <t>Principal Cloud Advocate at Microsoft</t>
  </si>
  <si>
    <t>2013-03-29T16:29:23Z</t>
  </si>
  <si>
    <t>woachk</t>
  </si>
  <si>
    <t>AWS, @CHECKRA1N</t>
  </si>
  <si>
    <t>Kernel/hypervisor engineer, Amazon EC2.</t>
  </si>
  <si>
    <t>2016-12-24T12:18:23Z</t>
  </si>
  <si>
    <t>Kardelio</t>
  </si>
  <si>
    <t>Benjamin Kadel</t>
  </si>
  <si>
    <t>BABBEL</t>
  </si>
  <si>
    <t xml:space="preserve">Senior Android Developer working in Berlin (DE) with an aspiring Tech/Dev YouTube Channel_x000D_
_x000D_
</t>
  </si>
  <si>
    <t>2015-01-14T00:05:24Z</t>
  </si>
  <si>
    <t>marimeireles</t>
  </si>
  <si>
    <t>Mariana Meireles</t>
  </si>
  <si>
    <t>MPIEVOLBIO-SCICOMP</t>
  </si>
  <si>
    <t>marianameireles@protonmail.com</t>
  </si>
  <si>
    <t>:octocat: octocatnaut &amp; opensourcerer ðŸ§™ðŸ¼â€â™€ï¸</t>
  </si>
  <si>
    <t>2016-03-02T19:33:30Z</t>
  </si>
  <si>
    <t>pauladiniz</t>
  </si>
  <si>
    <t>Paula Diniz</t>
  </si>
  <si>
    <t>COLONIA TECH</t>
  </si>
  <si>
    <t>bomdiapaulaa@gmail.com</t>
  </si>
  <si>
    <t xml:space="preserve">I develop stuff with Javascript for food and fun. </t>
  </si>
  <si>
    <t>2016-05-18T16:50:07Z</t>
  </si>
  <si>
    <t>coderobe</t>
  </si>
  <si>
    <t>Mara Robin B.</t>
  </si>
  <si>
    <t>ARCHLINUX, EX-@PARITYTECH</t>
  </si>
  <si>
    <t>i put on my robe and wizard hatâ€</t>
  </si>
  <si>
    <t>2014-08-13T20:47:22Z</t>
  </si>
  <si>
    <t>CesarValiente</t>
  </si>
  <si>
    <t>Cesar Valiente Gordo</t>
  </si>
  <si>
    <t xml:space="preserve">Android @microsoft </t>
  </si>
  <si>
    <t>2011-09-14T16:29:45Z</t>
  </si>
  <si>
    <t>jdennes</t>
  </si>
  <si>
    <t>James Dennes</t>
  </si>
  <si>
    <t>2009-03-19T22:11:12Z</t>
  </si>
  <si>
    <t>abdulfatir</t>
  </si>
  <si>
    <t>Abdul Fatir</t>
  </si>
  <si>
    <t>Abdulfatirs@gmail.com</t>
  </si>
  <si>
    <t>Applied Scientist, @aws</t>
  </si>
  <si>
    <t>2013-04-01T17:46:52Z</t>
  </si>
  <si>
    <t>htbkoo</t>
  </si>
  <si>
    <t>Software engineer</t>
  </si>
  <si>
    <t>2015-03-21T03:34:26Z</t>
  </si>
  <si>
    <t>carolstran</t>
  </si>
  <si>
    <t>Carolyn Stransky</t>
  </si>
  <si>
    <t>EMNIFY</t>
  </si>
  <si>
    <t>hello@workwithcarolyn.com</t>
  </si>
  <si>
    <t>ðŸŒ±ðŸ‘©ðŸ¼â€ðŸ’» Reluctant frontend engineer focused on accessibility, documentation, and design systems.</t>
  </si>
  <si>
    <t>2017-04-03T10:11:10Z</t>
  </si>
  <si>
    <t>spicedacademy</t>
  </si>
  <si>
    <t>Spiced Academy</t>
  </si>
  <si>
    <t>SPICED EDUCATION GMBH</t>
  </si>
  <si>
    <t>Mariendorfer Damm 1, 12099 Berlin</t>
  </si>
  <si>
    <t>2016-07-11T14:14:02Z</t>
  </si>
  <si>
    <t>bluemix</t>
  </si>
  <si>
    <t>Abdulmomen Bsruki</t>
  </si>
  <si>
    <t>a.bluemix@gmail.com</t>
  </si>
  <si>
    <t>programming machines</t>
  </si>
  <si>
    <t>2013-01-21T20:10:46Z</t>
  </si>
  <si>
    <t>janlelis</t>
  </si>
  <si>
    <t>Jan Lelis</t>
  </si>
  <si>
    <t>hi@ruby.consulting</t>
  </si>
  <si>
    <t>2009-08-03T17:41:50Z</t>
  </si>
  <si>
    <t>andydandy74</t>
  </si>
  <si>
    <t>Andreas Dieckmann</t>
  </si>
  <si>
    <t>BADMONKEYSTEAM</t>
  </si>
  <si>
    <t>2012-12-11T07:57:19Z</t>
  </si>
  <si>
    <t>zoepage</t>
  </si>
  <si>
    <t>Ola Gasidlo-BrÃ¤ndel</t>
  </si>
  <si>
    <t>SINNERSCHRADER @ACCENTURE</t>
  </si>
  <si>
    <t>Senior Principal Software Engineer at Accenture Song</t>
  </si>
  <si>
    <t>2011-01-13T09:34:21Z</t>
  </si>
  <si>
    <t>aqrln</t>
  </si>
  <si>
    <t>Alexey Orlenko</t>
  </si>
  <si>
    <t>alex@aqrln.net</t>
  </si>
  <si>
    <t>2013-07-02T17:35:35Z</t>
  </si>
  <si>
    <t>JustinShenk</t>
  </si>
  <si>
    <t>Justin Shenk</t>
  </si>
  <si>
    <t>SIMERSETEAM</t>
  </si>
  <si>
    <t>shenk.justin@gmail.com</t>
  </si>
  <si>
    <t>Founder of @VisioLab, @traja-team and @delve-team</t>
  </si>
  <si>
    <t>2014-12-22T13:46:54Z</t>
  </si>
  <si>
    <t>mwarning</t>
  </si>
  <si>
    <t>Moritz Warning</t>
  </si>
  <si>
    <t>moritzwarning@web.de</t>
  </si>
  <si>
    <t>Mesh Routing Algorithm Enthusiast</t>
  </si>
  <si>
    <t>2011-01-03T23:04:48Z</t>
  </si>
  <si>
    <t>gkmngrgn</t>
  </si>
  <si>
    <t>GÃ¶kmen GÃ¶rgen</t>
  </si>
  <si>
    <t>MIMIHEARINGTECHNOLOGIES</t>
  </si>
  <si>
    <t>gkmngrgn@gmail.com</t>
  </si>
  <si>
    <t>OS-agnostic Polyglot Programmer and Bassist ðŸŽ¶ _x000D_
#python #rust #go #typescript</t>
  </si>
  <si>
    <t>2009-04-10T01:11:30Z</t>
  </si>
  <si>
    <t>tssovi</t>
  </si>
  <si>
    <t>Tusamma Sal Sabil</t>
  </si>
  <si>
    <t>ALIGN TECHNOLOGY</t>
  </si>
  <si>
    <t>t.s.s.ovi@gmail.com</t>
  </si>
  <si>
    <t xml:space="preserve"> â… Backend Developer â… AI Enthusiast â… Algorithm Learner â… Passionate Problem Solver â… Tech Savvy â…</t>
  </si>
  <si>
    <t>2014-05-14T02:21:54Z</t>
  </si>
  <si>
    <t>brunagil</t>
  </si>
  <si>
    <t xml:space="preserve">Bruna Gil </t>
  </si>
  <si>
    <t xml:space="preserve">Front end engineer  / JavaScript lover_x000D_
</t>
  </si>
  <si>
    <t>2018-08-13T19:13:38Z</t>
  </si>
  <si>
    <t>IliaKani</t>
  </si>
  <si>
    <t>Ilia</t>
  </si>
  <si>
    <t>Front-End Web Developer | HTML/CSS &amp; JavaScript (React)</t>
  </si>
  <si>
    <t>2023-10-04T13:26:25Z</t>
  </si>
  <si>
    <t>mmourafiq</t>
  </si>
  <si>
    <t>Mourad</t>
  </si>
  <si>
    <t>2011-12-13T23:14:31Z</t>
  </si>
  <si>
    <t>nikku</t>
  </si>
  <si>
    <t>Nico Rehwaldt</t>
  </si>
  <si>
    <t>2009-02-27T16:42:37Z</t>
  </si>
  <si>
    <t>deanm</t>
  </si>
  <si>
    <t>Dean McNamee</t>
  </si>
  <si>
    <t>2009-02-21T13:24:32Z</t>
  </si>
  <si>
    <t>thejonanshow</t>
  </si>
  <si>
    <t>Jonan Scheffler</t>
  </si>
  <si>
    <t>DXOS</t>
  </si>
  <si>
    <t>jonanscheffler@gmail.com</t>
  </si>
  <si>
    <t>Head of Developer Relations at DXOS.org.</t>
  </si>
  <si>
    <t>2010-05-07T20:33:27Z</t>
  </si>
  <si>
    <t>cmaureir</t>
  </si>
  <si>
    <t>CristiÃ¡n Maureira-Fredes</t>
  </si>
  <si>
    <t>THE QT COMPANY</t>
  </si>
  <si>
    <t xml:space="preserve">Team Lead at The Qt Company | @pyside maintainer | @psf Fellow &amp; Board Director | @pypa moderator | former Astrophysicist._x000D_
</t>
  </si>
  <si>
    <t>2010-01-07T14:40:04Z</t>
  </si>
  <si>
    <t>discordianfish</t>
  </si>
  <si>
    <t>Johannes 'fish' Ziemke</t>
  </si>
  <si>
    <t xml:space="preserve">Freelance Cloud Native Consultant, Founder of @prometheus node_exporter._x000D_
_x000D_
</t>
  </si>
  <si>
    <t>2010-05-13T21:45:23Z</t>
  </si>
  <si>
    <t>seiflotfy</t>
  </si>
  <si>
    <t>Seif Lotfy</t>
  </si>
  <si>
    <t>AXIOMHQ</t>
  </si>
  <si>
    <t>me@seif.codes</t>
  </si>
  <si>
    <t xml:space="preserve">_x000D_
    eat, sleep, &lt;code&gt;, repeat_x000D_
</t>
  </si>
  <si>
    <t>2009-08-21T09:57:57Z</t>
  </si>
  <si>
    <t>yjs</t>
  </si>
  <si>
    <t>Yjs</t>
  </si>
  <si>
    <t>Shared Editing</t>
  </si>
  <si>
    <t>2018-11-14T15:33:35Z</t>
  </si>
  <si>
    <t>larsxschneider</t>
  </si>
  <si>
    <t>Lars Schneider</t>
  </si>
  <si>
    <t>Kiteboarder, hiker, engineer @GitHub.</t>
  </si>
  <si>
    <t>2010-11-11T14:43:36Z</t>
  </si>
  <si>
    <t>zalandoresearch</t>
  </si>
  <si>
    <t>Zalando Research</t>
  </si>
  <si>
    <t>research@zalando.de</t>
  </si>
  <si>
    <t>Repositories of the research branch of Zalando SE</t>
  </si>
  <si>
    <t>2017-08-09T14:20:58Z</t>
  </si>
  <si>
    <t>mindreframer</t>
  </si>
  <si>
    <t>Roman Heinrich</t>
  </si>
  <si>
    <t>Golang / Elixir / Ruby / Clojure / React.js / Devops</t>
  </si>
  <si>
    <t>2008-02-27T22:51:13Z</t>
  </si>
  <si>
    <t>yomete</t>
  </si>
  <si>
    <t>Yomi Eluwande</t>
  </si>
  <si>
    <t>yomi.eluwande@gmail.com</t>
  </si>
  <si>
    <t>2014-10-04T09:18:19Z</t>
  </si>
  <si>
    <t>johnjohndoe</t>
  </si>
  <si>
    <t>Tobias Preuss</t>
  </si>
  <si>
    <t>I ðŸ’Ÿ open source. @EventFahrplan maintainer, @Umweltzone maintainer</t>
  </si>
  <si>
    <t>2009-10-25T19:58:19Z</t>
  </si>
  <si>
    <t>felipecruz</t>
  </si>
  <si>
    <t>Felipe Cruz</t>
  </si>
  <si>
    <t>felipecruz@gmail.com</t>
  </si>
  <si>
    <t>{CS, ML, DS}</t>
  </si>
  <si>
    <t>2009-05-14T17:23:59Z</t>
  </si>
  <si>
    <t>missinglink</t>
  </si>
  <si>
    <t>Peter Johnson</t>
  </si>
  <si>
    <t>GEOCODEEARTH, @PELIAS</t>
  </si>
  <si>
    <t>Building open-source Geocoding/GIS software since 2014. Kiwi. Father. Founder @pelias, @geocodeearth. Previously at @mapzen</t>
  </si>
  <si>
    <t>2011-04-19T02:28:16Z</t>
  </si>
  <si>
    <t>Victoriapm</t>
  </si>
  <si>
    <t>Victoria Perez Mola</t>
  </si>
  <si>
    <t>ORGANIDATA</t>
  </si>
  <si>
    <t>Highly caffeinated analytics engineer, if you need to dig a database you have my attention. _x000D_
_x000D_
EnseÃ±o lo que se de datos en organidata.github.io</t>
  </si>
  <si>
    <t>2013-05-01T22:34:12Z</t>
  </si>
  <si>
    <t>lourot</t>
  </si>
  <si>
    <t>AurÃ©lien Lourot</t>
  </si>
  <si>
    <t>software@lourot.dev</t>
  </si>
  <si>
    <t>2015-04-04T09:08:20Z</t>
  </si>
  <si>
    <t>janober</t>
  </si>
  <si>
    <t>Jan Oberhauser</t>
  </si>
  <si>
    <t>N8N.IO</t>
  </si>
  <si>
    <t>2013-12-23T19:53:35Z</t>
  </si>
  <si>
    <t>yogiben</t>
  </si>
  <si>
    <t>Ben Jones</t>
  </si>
  <si>
    <t>BITWALA</t>
  </si>
  <si>
    <t>CTO &amp; Co-Founder at Bitwala</t>
  </si>
  <si>
    <t>2012-05-03T16:51:40Z</t>
  </si>
  <si>
    <t>fhueske</t>
  </si>
  <si>
    <t>Fabian Hueske</t>
  </si>
  <si>
    <t>CONFLUENT</t>
  </si>
  <si>
    <t>I'm a committer and PMC member of @apache Flink, software engineer at @confluentinc, co-founder of @dataArtisans, and author for O'Reilly.</t>
  </si>
  <si>
    <t>2012-09-20T19:26:15Z</t>
  </si>
  <si>
    <t>nickstenning</t>
  </si>
  <si>
    <t>Nick Stenning</t>
  </si>
  <si>
    <t>REPLICATE</t>
  </si>
  <si>
    <t>2008-03-21T21:16:05Z</t>
  </si>
  <si>
    <t>adriankumpf</t>
  </si>
  <si>
    <t>Adrian Kumpf</t>
  </si>
  <si>
    <t>2014-10-02T16:59:29Z</t>
  </si>
  <si>
    <t>anna-geller</t>
  </si>
  <si>
    <t>Anna Geller</t>
  </si>
  <si>
    <t>contact@annageller.com</t>
  </si>
  <si>
    <t xml:space="preserve">Product Lead at kestra.io | Data Engineer. Technical Writer. Fan of long walks, movies &amp; serverless.  </t>
  </si>
  <si>
    <t>2021-06-21T19:58:18Z</t>
  </si>
  <si>
    <t>laurmaedje</t>
  </si>
  <si>
    <t>Laurenz</t>
  </si>
  <si>
    <t>TYPST</t>
  </si>
  <si>
    <t>laurmaedje@gmail.com</t>
  </si>
  <si>
    <t>2016-03-17T08:45:37Z</t>
  </si>
  <si>
    <t>vasco-santos</t>
  </si>
  <si>
    <t>Vasco Santos</t>
  </si>
  <si>
    <t>PROTOCOL</t>
  </si>
  <si>
    <t>Making the web distributed with @libp2p @ipfs @filecoin-project  ðŸš€</t>
  </si>
  <si>
    <t>2014-04-14T20:58:34Z</t>
  </si>
  <si>
    <t>kshitij10496</t>
  </si>
  <si>
    <t>Kshitij Saraogi</t>
  </si>
  <si>
    <t>TOKNAPP</t>
  </si>
  <si>
    <t>kshitij.saraogi@gmail.com</t>
  </si>
  <si>
    <t>more awesome, less suck.</t>
  </si>
  <si>
    <t>2015-05-13T10:11:11Z</t>
  </si>
  <si>
    <t>neobrain</t>
  </si>
  <si>
    <t>Tony Wasserka</t>
  </si>
  <si>
    <t>Independent consultantãƒ»embedded systems, device drivers, firmware, kernels, etcãƒ»C++ and Haskellãƒ»Wii and 3DS emulator developer</t>
  </si>
  <si>
    <t>2013-06-26T20:14:52Z</t>
  </si>
  <si>
    <t>jfahrenkrug</t>
  </si>
  <si>
    <t>Johannes Fahrenkrug</t>
  </si>
  <si>
    <t>Independent iOS Developer</t>
  </si>
  <si>
    <t>2008-07-08T05:18:10Z</t>
  </si>
  <si>
    <t>d3vilbug</t>
  </si>
  <si>
    <t>bugzy</t>
  </si>
  <si>
    <t xml:space="preserve">n00b, wanna be a hacker one day_x000D_
</t>
  </si>
  <si>
    <t>2015-08-20T13:06:22Z</t>
  </si>
  <si>
    <t>grobie</t>
  </si>
  <si>
    <t>Tobias Schmidt</t>
  </si>
  <si>
    <t>GIGS</t>
  </si>
  <si>
    <t>Head of Engineering @gigs</t>
  </si>
  <si>
    <t>2008-03-19T14:36:19Z</t>
  </si>
  <si>
    <t>AlaaAttya</t>
  </si>
  <si>
    <t>Alaa Attya Mohamed</t>
  </si>
  <si>
    <t>DELIVERY HERO</t>
  </si>
  <si>
    <t>alaa.attya91@gmail.com</t>
  </si>
  <si>
    <t>Software engineer. For the love of software engineering i do live.</t>
  </si>
  <si>
    <t>2012-12-02T08:27:52Z</t>
  </si>
  <si>
    <t>atilafassina</t>
  </si>
  <si>
    <t>Atila Fassina</t>
  </si>
  <si>
    <t>CRABNEBULA-DEV</t>
  </si>
  <si>
    <t>atila@fassina.eu</t>
  </si>
  <si>
    <t>DevRel | Tech Lead | Educator</t>
  </si>
  <si>
    <t>2012-09-20T02:19:54Z</t>
  </si>
  <si>
    <t>streadway</t>
  </si>
  <si>
    <t>Sean Treadway</t>
  </si>
  <si>
    <t>VEO - EX SOUNDCLOUD</t>
  </si>
  <si>
    <t>2008-08-06T08:48:01Z</t>
  </si>
  <si>
    <t>goetas</t>
  </si>
  <si>
    <t>Asmir Mustafic</t>
  </si>
  <si>
    <t>goetas@gmail.com</t>
  </si>
  <si>
    <t>Software Architect and IT Consultant, specialties: PHP, Symfony and Docker, Puppet - in love with open source</t>
  </si>
  <si>
    <t>2011-05-09T12:29:52Z</t>
  </si>
  <si>
    <t>davidfurlong</t>
  </si>
  <si>
    <t>David Furlong</t>
  </si>
  <si>
    <t>FRAMESJS @OPEN-FRAMES</t>
  </si>
  <si>
    <t>dvfurlong@googlemail.com</t>
  </si>
  <si>
    <t>Building modprotocol.org Prev: Founder &amp; CTO @DeedMob. Prev: CS &amp; Phil @ OxfordUni._x000D_
_x000D_
React/TypeScript/Node</t>
  </si>
  <si>
    <t>2011-02-12T19:25:11Z</t>
  </si>
  <si>
    <t>objectbox</t>
  </si>
  <si>
    <t>ObjectBox</t>
  </si>
  <si>
    <t>On-device database &amp; vector database for local object persistence, 10x faster than SQLite</t>
  </si>
  <si>
    <t>2016-09-20T17:38:20Z</t>
  </si>
  <si>
    <t>Drakulix</t>
  </si>
  <si>
    <t>Victoria Brekenfeld</t>
  </si>
  <si>
    <t>SYSTEM76</t>
  </si>
  <si>
    <t>2013-05-11T15:20:57Z</t>
  </si>
  <si>
    <t>rafaeljesus</t>
  </si>
  <si>
    <t>Rafael Jesus</t>
  </si>
  <si>
    <t>SRE/SWE @LightStep</t>
  </si>
  <si>
    <t>2011-11-23T19:21:09Z</t>
  </si>
  <si>
    <t>objcio</t>
  </si>
  <si>
    <t>objc.io</t>
  </si>
  <si>
    <t>2013-05-12T11:22:31Z</t>
  </si>
  <si>
    <t>vitling</t>
  </si>
  <si>
    <t>David Whiting</t>
  </si>
  <si>
    <t>2012-02-17T14:43:16Z</t>
  </si>
  <si>
    <t>hamoid</t>
  </si>
  <si>
    <t>Abe Pazos</t>
  </si>
  <si>
    <t>PRACHTSAAL STUDIO</t>
  </si>
  <si>
    <t>abe@hamoid.com</t>
  </si>
  <si>
    <t>Generative art &amp; design. Co-organizer of Creative Code Berlin since 2013. GLSL shader workshops. @openrndr contributor._x000D_
_x000D_
Now on https://codeberg.org/hamoid</t>
  </si>
  <si>
    <t>2009-07-24T09:23:43Z</t>
  </si>
  <si>
    <t>anaschwendler</t>
  </si>
  <si>
    <t>Ana Schwendler</t>
  </si>
  <si>
    <t>Well sir, what do you bring to the table?</t>
  </si>
  <si>
    <t>2013-04-11T23:34:00Z</t>
  </si>
  <si>
    <t>daniel-j-h</t>
  </si>
  <si>
    <t>Daniel J. H.</t>
  </si>
  <si>
    <t>2010-12-17T12:59:54Z</t>
  </si>
  <si>
    <t>Nitrokey</t>
  </si>
  <si>
    <t>info@nitrokey.com</t>
  </si>
  <si>
    <t>Secure your digital life</t>
  </si>
  <si>
    <t>2014-10-28T21:55:10Z</t>
  </si>
  <si>
    <t>sejalv</t>
  </si>
  <si>
    <t>Sejal Vaidya</t>
  </si>
  <si>
    <t>Data generalist</t>
  </si>
  <si>
    <t>2014-10-19T17:05:08Z</t>
  </si>
  <si>
    <t>chrxh</t>
  </si>
  <si>
    <t>Christian Heinemann</t>
  </si>
  <si>
    <t>heinemann.christian@gmail.com</t>
  </si>
  <si>
    <t>Creator of alien-project.org | ALife and CUDA enthusiast | PhD | Software engineer | Ex-researcher in Applied Analysis</t>
  </si>
  <si>
    <t>2020-10-19T15:53:59Z</t>
  </si>
  <si>
    <t>al2na</t>
  </si>
  <si>
    <t>Altuna Akalin</t>
  </si>
  <si>
    <t>BERLIN INSTITUTE FOR MEDICAL SYSTEMS BIOLOGY</t>
  </si>
  <si>
    <t xml:space="preserve">doing stuff </t>
  </si>
  <si>
    <t>2011-02-25T16:26:13Z</t>
  </si>
  <si>
    <t>mr-c</t>
  </si>
  <si>
    <t>Michael R. Crusoe</t>
  </si>
  <si>
    <t>COMMON-WORKFLOW-LANGUAGE</t>
  </si>
  <si>
    <t>@common-workflow-language co-founder &amp; CWL Project Lead. Debian Developer volunteer for the Debian-Med (bioinformatics) team. #SciWorkflows #FreeOpenStandards</t>
  </si>
  <si>
    <t>2012-01-14T21:46:42Z</t>
  </si>
  <si>
    <t>yogmel</t>
  </si>
  <si>
    <t>Mellina Yonashiro</t>
  </si>
  <si>
    <t>yonashiro.mellina@gmail.com</t>
  </si>
  <si>
    <t>2013-03-18T18:03:26Z</t>
  </si>
  <si>
    <t>DenisovAV</t>
  </si>
  <si>
    <t>Sasha Denisov</t>
  </si>
  <si>
    <t>EPAM</t>
  </si>
  <si>
    <t>denisov.shureg@gmail.com</t>
  </si>
  <si>
    <t>Sasha is a Flutter, Dart and Firebase GDE, Head of Flutter Discpilne in EPAM,  Co-organizer of Flutter Berlin Meetup</t>
  </si>
  <si>
    <t>2014-11-08T07:45:38Z</t>
  </si>
  <si>
    <t>arianvp</t>
  </si>
  <si>
    <t>Arian van Putten</t>
  </si>
  <si>
    <t>2011-02-20T15:03:03Z</t>
  </si>
  <si>
    <t>mishushakov</t>
  </si>
  <si>
    <t>Mish Ushakov</t>
  </si>
  <si>
    <t>Make things work</t>
  </si>
  <si>
    <t>2015-01-05T11:24:11Z</t>
  </si>
  <si>
    <t>thyrlian</t>
  </si>
  <si>
    <t>Jing Li</t>
  </si>
  <si>
    <t>LASTMINUTEDOTCOM</t>
  </si>
  <si>
    <t>Code âŒ¨ &amp; Play ðŸ€ | Nostalgist | Engineering Director @lastminutedotcom, formerly Clark, FREENOW, Viacom, eBay, HERE Maps, SONY, Motorola</t>
  </si>
  <si>
    <t>2010-08-03T15:46:23Z</t>
  </si>
  <si>
    <t>adrianheine</t>
  </si>
  <si>
    <t>Adrian Heine nÃ© Lang</t>
  </si>
  <si>
    <t>mail@adrianheine.de</t>
  </si>
  <si>
    <t>Profile picture by Veronica Jonsson, cc-by-2.0</t>
  </si>
  <si>
    <t>2009-10-13T15:01:56Z</t>
  </si>
  <si>
    <t>lorey</t>
  </si>
  <si>
    <t>Karl Lorey</t>
  </si>
  <si>
    <t>STARTUPRADAR @LOREYVENTURES</t>
  </si>
  <si>
    <t>git@karllorey.com</t>
  </si>
  <si>
    <t>Data and VC. ML, Crawling, Scraping. Using whatever gets the job done, mostly Python, SQL, HTML/CSS, JS.</t>
  </si>
  <si>
    <t>2012-03-18T21:29:33Z</t>
  </si>
  <si>
    <t>unnamedd</t>
  </si>
  <si>
    <t>Thiago Holanda</t>
  </si>
  <si>
    <t>EGYM @EVOLUTION-APP</t>
  </si>
  <si>
    <t>Always working on something with Swift, Xcode, CLI and now, Rust too. #StandWithUkraine.</t>
  </si>
  <si>
    <t>2009-05-12T14:36:43Z</t>
  </si>
  <si>
    <t>septag</t>
  </si>
  <si>
    <t>Sepehr Taghdisian</t>
  </si>
  <si>
    <t>UBISOFT</t>
  </si>
  <si>
    <t>Berlin / Germany</t>
  </si>
  <si>
    <t>septag@pm.me</t>
  </si>
  <si>
    <t>2013-07-24T14:23:28Z</t>
  </si>
  <si>
    <t>asaaki</t>
  </si>
  <si>
    <t>Christoph Grabo</t>
  </si>
  <si>
    <t>MARKENTIER</t>
  </si>
  <si>
    <t>Holistic Engineer. Methodical Deep Thinker. {he, they}_x000D_
_x000D_
ðŸ¦„ðŸ‘¨ðŸ¼â€ðŸ’» at @contentful</t>
  </si>
  <si>
    <t>2010-10-20T09:13:37Z</t>
  </si>
  <si>
    <t>Fouloscopie</t>
  </si>
  <si>
    <t>Chercheur @ Institut Max Planck Berlin.</t>
  </si>
  <si>
    <t>2021-04-15T19:35:03Z</t>
  </si>
  <si>
    <t>sacridini</t>
  </si>
  <si>
    <t>Eduardo Lacerda</t>
  </si>
  <si>
    <t>HUMBOLDT-UNIVERSITÃ„T ZU BERLIN</t>
  </si>
  <si>
    <t>eduardolacerdageo@gmail.com</t>
  </si>
  <si>
    <t>2014-05-31T20:05:59Z</t>
  </si>
  <si>
    <t>alanakbik</t>
  </si>
  <si>
    <t>Alan Akbik</t>
  </si>
  <si>
    <t xml:space="preserve">Creator of the Flair NLP framework_x000D_
</t>
  </si>
  <si>
    <t>2016-04-25T17:49:09Z</t>
  </si>
  <si>
    <t>nomicode</t>
  </si>
  <si>
    <t>Naomi</t>
  </si>
  <si>
    <t>2008-09-06T19:50:18Z</t>
  </si>
  <si>
    <t>talitaoliveira</t>
  </si>
  <si>
    <t>Talita Oliveira</t>
  </si>
  <si>
    <t>IMMOBILIEN SCOUT24</t>
  </si>
  <si>
    <t>2012-08-15T16:59:47Z</t>
  </si>
  <si>
    <t>marktani</t>
  </si>
  <si>
    <t>Nilan Marktanner</t>
  </si>
  <si>
    <t>Learning about life, humans, culture, languages, and everything else. I'd love to meet you!</t>
  </si>
  <si>
    <t>2012-05-26T11:25:54Z</t>
  </si>
  <si>
    <t>Licenser</t>
  </si>
  <si>
    <t>Heinz N. Gies</t>
  </si>
  <si>
    <t>heinz@licenser.net</t>
  </si>
  <si>
    <t>2009-08-25T00:16:51Z</t>
  </si>
  <si>
    <t>Khaledgarbaya</t>
  </si>
  <si>
    <t>Khaled Garbaya</t>
  </si>
  <si>
    <t>UNIFORMDEV</t>
  </si>
  <si>
    <t>Berlin - Germany</t>
  </si>
  <si>
    <t>khaledgarbaya@gmail.com</t>
  </si>
  <si>
    <t>Engineering Leader</t>
  </si>
  <si>
    <t>2011-10-27T16:40:42Z</t>
  </si>
  <si>
    <t>s1monw</t>
  </si>
  <si>
    <t>Simon Willnauer</t>
  </si>
  <si>
    <t>ELASTIC</t>
  </si>
  <si>
    <t>simonw@apache.org</t>
  </si>
  <si>
    <t>2011-08-11T07:56:17Z</t>
  </si>
  <si>
    <t>angelikatyborska</t>
  </si>
  <si>
    <t>Angelika Cathor</t>
  </si>
  <si>
    <t>2014-06-10T18:41:49Z</t>
  </si>
  <si>
    <t>bennycode</t>
  </si>
  <si>
    <t>Benny Neugebauer</t>
  </si>
  <si>
    <t>SOUTHPOLECARBON</t>
  </si>
  <si>
    <t>mail@bennycode.com</t>
  </si>
  <si>
    <t>I am a professional programmer who likes to collaborate with passionate &amp; friendly people. ðŸ’»ðŸ’«</t>
  </si>
  <si>
    <t>2010-11-06T10:37:23Z</t>
  </si>
  <si>
    <t>Kovah</t>
  </si>
  <si>
    <t>Kevin Woblick</t>
  </si>
  <si>
    <t>contact@kovah.de</t>
  </si>
  <si>
    <t>Full Stack Web Engineer and Open Source Creator._x000D_
DevOps @ Universal Music Germany</t>
  </si>
  <si>
    <t>2012-06-04T17:15:47Z</t>
  </si>
  <si>
    <t>mrflix</t>
  </si>
  <si>
    <t>Felix Niklas</t>
  </si>
  <si>
    <t>Freelance web developer</t>
  </si>
  <si>
    <t>2009-03-06T14:27:43Z</t>
  </si>
  <si>
    <t>sorenbs</t>
  </si>
  <si>
    <t>SÃ¸ren Bramer Schmidt</t>
  </si>
  <si>
    <t>Berlin / SF</t>
  </si>
  <si>
    <t>If you are building for a global audience, you should give @prisma a try. Twitter DMs open - please reach out!</t>
  </si>
  <si>
    <t>2010-05-19T12:33:13Z</t>
  </si>
  <si>
    <t>tsterbak</t>
  </si>
  <si>
    <t>Tobias Sterbak</t>
  </si>
  <si>
    <t>Data Scientist, Mathematician, Machine Learning Engineer, Open Source developer</t>
  </si>
  <si>
    <t>2015-07-13T08:02:25Z</t>
  </si>
  <si>
    <t>rixx</t>
  </si>
  <si>
    <t>Tobias Kunze</t>
  </si>
  <si>
    <t>PRETALX.COM</t>
  </si>
  <si>
    <t>r@rixx.de</t>
  </si>
  <si>
    <t>I build things, like @pretalx or @venueless. I run events, like @metarheinmain or @c3cashdesk.</t>
  </si>
  <si>
    <t>2012-10-26T13:59:27Z</t>
  </si>
  <si>
    <t>reuben</t>
  </si>
  <si>
    <t>Reuben Morais</t>
  </si>
  <si>
    <t>2010-11-11T10:23:54Z</t>
  </si>
  <si>
    <t>RosaWagner</t>
  </si>
  <si>
    <t>Rosalie Wagner</t>
  </si>
  <si>
    <t>mail@rosaliewagner.com</t>
  </si>
  <si>
    <t xml:space="preserve">French Berlin based Type designer / Font Engineer. </t>
  </si>
  <si>
    <t>2015-05-03T16:07:30Z</t>
  </si>
  <si>
    <t>rivo</t>
  </si>
  <si>
    <t>2010-11-14T10:24:32Z</t>
  </si>
  <si>
    <t>lucaong</t>
  </si>
  <si>
    <t>Luca Ongaro</t>
  </si>
  <si>
    <t>MAGALOOP GMBH</t>
  </si>
  <si>
    <t>Loves crafting software products. Science enthusiast. CTO and Co-Founder at Magaloop GmbH.</t>
  </si>
  <si>
    <t>2010-03-18T16:24:15Z</t>
  </si>
  <si>
    <t>dpreussler</t>
  </si>
  <si>
    <t>Danny Preussler</t>
  </si>
  <si>
    <t>SOUNDCLOUD</t>
  </si>
  <si>
    <t>Google Developer Expert, Conference Nomad, Goth, Techno, @soundcloud Previously @Viacom @groupon @eBay â™¡ TDD â™¡ Clean Code</t>
  </si>
  <si>
    <t>2012-09-26T07:29:16Z</t>
  </si>
  <si>
    <t>fabsx00</t>
  </si>
  <si>
    <t>Fabian Yamaguchi</t>
  </si>
  <si>
    <t>SHIFTLEFT INC</t>
  </si>
  <si>
    <t>mail@fabianyamaguchi.com</t>
  </si>
  <si>
    <t>2012-01-25T13:42:19Z</t>
  </si>
  <si>
    <t>sotte</t>
  </si>
  <si>
    <t>Stefan Otte</t>
  </si>
  <si>
    <t>stefan.otte@gmail.com</t>
  </si>
  <si>
    <t>ML, DL, CV, RL, PyTorch</t>
  </si>
  <si>
    <t>2009-04-29T12:06:18Z</t>
  </si>
  <si>
    <t>janmonschke</t>
  </si>
  <si>
    <t>Jan Monschke</t>
  </si>
  <si>
    <t>2009-03-30T11:50:06Z</t>
  </si>
  <si>
    <t>spacecowb0y</t>
  </si>
  <si>
    <t>[object Object]</t>
  </si>
  <si>
    <t>Human after all.</t>
  </si>
  <si>
    <t>2008-10-15T20:04:46Z</t>
  </si>
  <si>
    <t>MKRLancer</t>
  </si>
  <si>
    <t>M.K~R lancer</t>
  </si>
  <si>
    <t>Berlin of Germany</t>
  </si>
  <si>
    <t>Full-Stack | Mobile | Blockchain &amp; 9 yrs</t>
  </si>
  <si>
    <t>2023-01-31T18:25:53Z</t>
  </si>
  <si>
    <t>candostdagdeviren</t>
  </si>
  <si>
    <t>Candost</t>
  </si>
  <si>
    <t>Engineer Manager | Writer</t>
  </si>
  <si>
    <t>2012-07-13T20:45:28Z</t>
  </si>
  <si>
    <t>kenshinji</t>
  </si>
  <si>
    <t>Fred Wang</t>
  </si>
  <si>
    <t>gundam0083ster@gmail.com</t>
  </si>
  <si>
    <t xml:space="preserve">on the way of being a polyglot / fullstack hacker ðŸ’ª </t>
  </si>
  <si>
    <t>2012-02-03T02:11:11Z</t>
  </si>
  <si>
    <t>lstoll</t>
  </si>
  <si>
    <t>Lincoln Stoll</t>
  </si>
  <si>
    <t>me@lds.li</t>
  </si>
  <si>
    <t>2008-02-23T19:34:57Z</t>
  </si>
  <si>
    <t>denisdefreyne</t>
  </si>
  <si>
    <t>Denis Defreyne</t>
  </si>
  <si>
    <t>hello@denisdefreyne.com</t>
  </si>
  <si>
    <t>Third nicest person in my neighbourhood</t>
  </si>
  <si>
    <t>2008-04-10T20:22:47Z</t>
  </si>
  <si>
    <t>jmattheis</t>
  </si>
  <si>
    <t>Jannis Mattheis</t>
  </si>
  <si>
    <t>GOTIFY @SCREEGO @TRAGGO</t>
  </si>
  <si>
    <t>hello@jmattheis.de</t>
  </si>
  <si>
    <t>Self-taught programmer with great interest in code quality.</t>
  </si>
  <si>
    <t>2015-09-29T18:57:10Z</t>
  </si>
  <si>
    <t>cmichi</t>
  </si>
  <si>
    <t>Michael MÃ¼ller</t>
  </si>
  <si>
    <t>Techno-creative enthusiast.</t>
  </si>
  <si>
    <t>2010-04-11T13:09:44Z</t>
  </si>
  <si>
    <t>Sly777</t>
  </si>
  <si>
    <t>Ilker Guller</t>
  </si>
  <si>
    <t>Gamer || Metal Drummer || Full JS Dev || Berlin X Istanbul || Author of RAN, Hayde || ðŸ’• Open Source</t>
  </si>
  <si>
    <t>2011-03-28T11:46:22Z</t>
  </si>
  <si>
    <t>OskarStark</t>
  </si>
  <si>
    <t>Oskar Stark</t>
  </si>
  <si>
    <t>SENSIOLABS GERMANY</t>
  </si>
  <si>
    <t>oskarstark@googlemail.com</t>
  </si>
  <si>
    <t>2011-08-22T08:04:41Z</t>
  </si>
  <si>
    <t>esoxjem</t>
  </si>
  <si>
    <t>Arun Sasidharan</t>
  </si>
  <si>
    <t>SHARETHEMEAL</t>
  </si>
  <si>
    <t>2014-06-09T10:09:06Z</t>
  </si>
  <si>
    <t>saschanaz</t>
  </si>
  <si>
    <t>Kagami Sascha Rosylight</t>
  </si>
  <si>
    <t>saschanaz@outlook.com</t>
  </si>
  <si>
    <t>Some web things</t>
  </si>
  <si>
    <t>2013-01-27T11:50:16Z</t>
  </si>
  <si>
    <t>clovisdasilvaneto</t>
  </si>
  <si>
    <t>ClÃ³vis Neto</t>
  </si>
  <si>
    <t>AUDIBENE</t>
  </si>
  <si>
    <t>Berlin | Germany</t>
  </si>
  <si>
    <t>clovisdasilvaneto@gmail.com</t>
  </si>
  <si>
    <t>Front End Engineer, FEMUG-PE founder, creator of the All Animation CSS3 and NevinhaJs</t>
  </si>
  <si>
    <t>2013-05-29T03:14:59Z</t>
  </si>
  <si>
    <t>montogeek</t>
  </si>
  <si>
    <t>Fernando Montoya</t>
  </si>
  <si>
    <t>montogeek@gmail.com</t>
  </si>
  <si>
    <t>Also words</t>
  </si>
  <si>
    <t>2011-08-24T20:08:07Z</t>
  </si>
  <si>
    <t>Letty</t>
  </si>
  <si>
    <t>2010-11-03T11:50:19Z</t>
  </si>
  <si>
    <t>autophagy</t>
  </si>
  <si>
    <t>Mika Naylor</t>
  </si>
  <si>
    <t>CONFLUENTINC</t>
  </si>
  <si>
    <t>mail@autophagy.io</t>
  </si>
  <si>
    <t>a temple of wet earth and rough stones, erected in haste</t>
  </si>
  <si>
    <t>2015-06-18T22:35:10Z</t>
  </si>
  <si>
    <t>marcobiedermann</t>
  </si>
  <si>
    <t>Marco Biedermann</t>
  </si>
  <si>
    <t>MOBIMEO</t>
  </si>
  <si>
    <t>Senior Full-Stack Software Engineer working primarily with TypeScript, Node.js &amp; React</t>
  </si>
  <si>
    <t>2013-08-16T13:42:53Z</t>
  </si>
  <si>
    <t>efemoney</t>
  </si>
  <si>
    <t>Efeturi Money</t>
  </si>
  <si>
    <t>CAREEM</t>
  </si>
  <si>
    <t>efeturi.money@gmail.com</t>
  </si>
  <si>
    <t>Android developer and Design enthusiast.</t>
  </si>
  <si>
    <t>2014-08-13T04:37:02Z</t>
  </si>
  <si>
    <t>niderhoff</t>
  </si>
  <si>
    <t>Nicolas Iderhoff</t>
  </si>
  <si>
    <t>T-SYSTEMS</t>
  </si>
  <si>
    <t>nicolasiderhoff@googlemail.com</t>
  </si>
  <si>
    <t>Data Scientist</t>
  </si>
  <si>
    <t>2013-11-20T14:11:18Z</t>
  </si>
  <si>
    <t>marinho</t>
  </si>
  <si>
    <t>Mario Brandao</t>
  </si>
  <si>
    <t>STUFF STUFF @Â SAP</t>
  </si>
  <si>
    <t>marinho@gmail.com</t>
  </si>
  <si>
    <t>organic</t>
  </si>
  <si>
    <t>2008-04-03T14:09:08Z</t>
  </si>
  <si>
    <t>kimar</t>
  </si>
  <si>
    <t>Marcus Kida</t>
  </si>
  <si>
    <t>BEAROLOGICS</t>
  </si>
  <si>
    <t>marcus.kida@bearologics.com</t>
  </si>
  <si>
    <t>Freelance Mobile App Developer and CEO @ Bearologics GmbH ðŸ‘‰ I'm solving problems through code. Want to build a PoC for your startup? Get in touch.</t>
  </si>
  <si>
    <t>2009-09-13T17:23:19Z</t>
  </si>
  <si>
    <t>omergulen</t>
  </si>
  <si>
    <t>Ã–mer</t>
  </si>
  <si>
    <t xml:space="preserve">swe @babbel </t>
  </si>
  <si>
    <t>2017-03-19T16:01:14Z</t>
  </si>
  <si>
    <t>progapandist</t>
  </si>
  <si>
    <t>Andy Baranov</t>
  </si>
  <si>
    <t>andrey@hey.com</t>
  </si>
  <si>
    <t>Cloud, tooling, Ruby, Go, Rails, K8s, GKE, some front-end love. Common-sense deploys and clean code.</t>
  </si>
  <si>
    <t>2015-05-19T13:29:32Z</t>
  </si>
  <si>
    <t>aarlt</t>
  </si>
  <si>
    <t>Alexander Arlt</t>
  </si>
  <si>
    <t>ARLT-LABS.COM</t>
  </si>
  <si>
    <t>I'm a freelance software engineer from Berlin.</t>
  </si>
  <si>
    <t>2013-07-14T22:02:05Z</t>
  </si>
  <si>
    <t>devonestes</t>
  </si>
  <si>
    <t>Devon Estes</t>
  </si>
  <si>
    <t>V7LABS</t>
  </si>
  <si>
    <t>devon.c.estes@gmail.com</t>
  </si>
  <si>
    <t xml:space="preserve">@elixir-lang developer. Maintainer of Muzak, @bencheeorg &amp; the Elixir track at @exercism._x000D_
</t>
  </si>
  <si>
    <t>2014-08-12T00:21:54Z</t>
  </si>
  <si>
    <t>manuelbieh</t>
  </si>
  <si>
    <t>Manuel Bieh</t>
  </si>
  <si>
    <t>WIREMORE @UNBOGIFY</t>
  </si>
  <si>
    <t>github@manuelbieh.de</t>
  </si>
  <si>
    <t>Freelance JavaScript Developer from Berlin. You can hire me!</t>
  </si>
  <si>
    <t>2010-04-08T13:40:20Z</t>
  </si>
  <si>
    <t>irh</t>
  </si>
  <si>
    <t>Ian Hobson</t>
  </si>
  <si>
    <t>2011-07-12T12:18:43Z</t>
  </si>
  <si>
    <t>hartwork</t>
  </si>
  <si>
    <t>Sebastian Pipping</t>
  </si>
  <si>
    <t>sebastian@pipping.org</t>
  </si>
  <si>
    <t>If you enjoy my Open Source work, please consider donating to the Free Software Foundation Europe (FSFE).</t>
  </si>
  <si>
    <t>2012-03-26T17:34:21Z</t>
  </si>
  <si>
    <t>s-soroosh</t>
  </si>
  <si>
    <t>Soroosh Sarabadani</t>
  </si>
  <si>
    <t>SHOPIFY</t>
  </si>
  <si>
    <t>soroosh.sarabadani@gmail.com</t>
  </si>
  <si>
    <t>Senior Staff Software Engineer @Shopify</t>
  </si>
  <si>
    <t>2011-04-13T11:43:41Z</t>
  </si>
  <si>
    <t>lukasoppermann</t>
  </si>
  <si>
    <t>Lukas Oppermann</t>
  </si>
  <si>
    <t>hello@lukasoppermann.com</t>
  </si>
  <si>
    <t>Design at @github @primer._x000D_
Loves coffee, ðŸˆ and technology._x000D_
_x000D_
_x000D_
Crazy about design systems &amp; design tokens.</t>
  </si>
  <si>
    <t>2011-05-27T07:28:46Z</t>
  </si>
  <si>
    <t>joseliacosta</t>
  </si>
  <si>
    <t>Joselia C</t>
  </si>
  <si>
    <t>I care about people and most of my motivation to code is find solutions for them. Because it is always about people.</t>
  </si>
  <si>
    <t>2014-10-16T00:16:38Z</t>
  </si>
  <si>
    <t>szaimen</t>
  </si>
  <si>
    <t>Simon L.</t>
  </si>
  <si>
    <t>NEXTCLOUD GMBH</t>
  </si>
  <si>
    <t>szaimen@e.mail.de</t>
  </si>
  <si>
    <t>2018-08-21T22:38:15Z</t>
  </si>
  <si>
    <t>Rebaiahmed</t>
  </si>
  <si>
    <t>Ahmed Rebai</t>
  </si>
  <si>
    <t>ENTIMO AG</t>
  </si>
  <si>
    <t>ahmed.bouhmid94@gmail.com</t>
  </si>
  <si>
    <t xml:space="preserve">â€¢ Software Engineer ðŸ‘¨â€ðŸ’»_x000D_
â€¢ Angular Berlin meetup Co-organizerðŸŽƒ_x000D_
â€¢ Front-end Developer/Angular â¤_x000D_
_x000D_
</t>
  </si>
  <si>
    <t>2015-06-25T18:24:58Z</t>
  </si>
  <si>
    <t>polarity</t>
  </si>
  <si>
    <t>Robert Agthe</t>
  </si>
  <si>
    <t>SCRIPTSHIT</t>
  </si>
  <si>
    <t>robert@scriptshit.de</t>
  </si>
  <si>
    <t>i love php</t>
  </si>
  <si>
    <t>2009-11-01T16:47:07Z</t>
  </si>
  <si>
    <t>fmeyer</t>
  </si>
  <si>
    <t>Fernando Meyer</t>
  </si>
  <si>
    <t>OKTA</t>
  </si>
  <si>
    <t>fm@pobox.com</t>
  </si>
  <si>
    <t>2008-04-08T05:24:27Z</t>
  </si>
  <si>
    <t>hanakamer</t>
  </si>
  <si>
    <t>Hana Kamer</t>
  </si>
  <si>
    <t>TRAVELPERK</t>
  </si>
  <si>
    <t>2015-01-10T21:33:58Z</t>
  </si>
  <si>
    <t>Kriesse</t>
  </si>
  <si>
    <t>Kristina Schneider</t>
  </si>
  <si>
    <t>COBOT</t>
  </si>
  <si>
    <t>kristina@cssconf.eu</t>
  </si>
  <si>
    <t>Co-founder at Cobot, organizer of @cssconf @upfrontug @CSSclasses.</t>
  </si>
  <si>
    <t>2009-02-11T15:40:03Z</t>
  </si>
  <si>
    <t>geekdada</t>
  </si>
  <si>
    <t>Roy Li</t>
  </si>
  <si>
    <t>KLARNA</t>
  </si>
  <si>
    <t>me@royli.dev</t>
  </si>
  <si>
    <t>Engineer @klarna</t>
  </si>
  <si>
    <t>2013-01-15T12:09:18Z</t>
  </si>
  <si>
    <t>mlegy</t>
  </si>
  <si>
    <t>Ahmad Melegy</t>
  </si>
  <si>
    <t>DOORDASH</t>
  </si>
  <si>
    <t>2013-06-25T18:25:00Z</t>
  </si>
  <si>
    <t>mirshko</t>
  </si>
  <si>
    <t>Jeff Reiner</t>
  </si>
  <si>
    <t>Product Engineer</t>
  </si>
  <si>
    <t>2014-07-09T17:46:14Z</t>
  </si>
  <si>
    <t>Dylan-DPC-zz</t>
  </si>
  <si>
    <t>Dylan DPC</t>
  </si>
  <si>
    <t xml:space="preserve">Rustacean </t>
  </si>
  <si>
    <t>2015-05-09T12:22:58Z</t>
  </si>
  <si>
    <t>linki</t>
  </si>
  <si>
    <t>Martin Linkhorst</t>
  </si>
  <si>
    <t>2008-11-23T15:34:01Z</t>
  </si>
  <si>
    <t>danielpaulus</t>
  </si>
  <si>
    <t>I like to solve complicated problems and reverse engineer things :-D_x000D_
Join the iOS Discord https://discord.gg/Zr8J3bCdkv</t>
  </si>
  <si>
    <t>2013-05-03T13:32:26Z</t>
  </si>
  <si>
    <t>keremciu</t>
  </si>
  <si>
    <t>Kerem Sevencan</t>
  </si>
  <si>
    <t>2012-03-31T15:48:59Z</t>
  </si>
  <si>
    <t>aep</t>
  </si>
  <si>
    <t>Arvid E. Picciani</t>
  </si>
  <si>
    <t>KRAUDCLOUD @DEVGUARDIO @ZETZIT</t>
  </si>
  <si>
    <t>aep@exys.org</t>
  </si>
  <si>
    <t>internet connected devices hacker</t>
  </si>
  <si>
    <t>2009-10-08T17:02:49Z</t>
  </si>
  <si>
    <t>stanislaw</t>
  </si>
  <si>
    <t>Stanislav Pankevich</t>
  </si>
  <si>
    <t>s.pankevich@gmail.com</t>
  </si>
  <si>
    <t>2010-10-25T04:52:11Z</t>
  </si>
  <si>
    <t>msoos</t>
  </si>
  <si>
    <t>Mate Soos</t>
  </si>
  <si>
    <t>soos.mate@gmail.com</t>
  </si>
  <si>
    <t>SAT&amp;SMT solver, cryptography and security enthusiast</t>
  </si>
  <si>
    <t>2012-01-16T20:22:36Z</t>
  </si>
  <si>
    <t>BenchR267</t>
  </si>
  <si>
    <t>Benjamin Herzog</t>
  </si>
  <si>
    <t>ï£¿</t>
  </si>
  <si>
    <t>mail@benchr.de</t>
  </si>
  <si>
    <t>ï£¿ Dev Tools</t>
  </si>
  <si>
    <t>2013-11-05T07:43:37Z</t>
  </si>
  <si>
    <t>chrippa</t>
  </si>
  <si>
    <t>Christopher Rosell</t>
  </si>
  <si>
    <t>2008-08-28T21:33:00Z</t>
  </si>
  <si>
    <t>Goldziher</t>
  </si>
  <si>
    <t>Na'aman Hirschfeld</t>
  </si>
  <si>
    <t>PHILIPPS &amp; BYRNE GMBH</t>
  </si>
  <si>
    <t>nhirschfeld@gmail.com</t>
  </si>
  <si>
    <t>- Co-founder @basemind-ai. _x000D_
- Creator @litestar-org. _x000D_
_x000D_
Fullstack engineer and open-source contributor.</t>
  </si>
  <si>
    <t>2017-08-04T18:13:47Z</t>
  </si>
  <si>
    <t>bashofmann</t>
  </si>
  <si>
    <t>Bastian Hofmann</t>
  </si>
  <si>
    <t>Bringing @qdrant to enterprises</t>
  </si>
  <si>
    <t>2010-04-13T13:39:37Z</t>
  </si>
  <si>
    <t>phazonoverload</t>
  </si>
  <si>
    <t>Kevin Lewis</t>
  </si>
  <si>
    <t>DIRECTUS</t>
  </si>
  <si>
    <t>kvn@lws.io</t>
  </si>
  <si>
    <t>Runs Developer Experience at @directus. Director, You Got This.</t>
  </si>
  <si>
    <t>2012-02-22T15:01:20Z</t>
  </si>
  <si>
    <t>moiseshorta</t>
  </si>
  <si>
    <t>MoisÃ©s Horta Valenzuela</t>
  </si>
  <si>
    <t>MOISESHORTA.AUDIO</t>
  </si>
  <si>
    <t xml:space="preserve">â‰ Sound artist, creative technologist and electronic musician working with generative A.I. _x000D_
From MÃ©xico, based in Berlin. </t>
  </si>
  <si>
    <t>2018-12-18T15:26:04Z</t>
  </si>
  <si>
    <t>Mark2Mark</t>
  </si>
  <si>
    <t>Mark FrÃ¶mberg</t>
  </si>
  <si>
    <t>HYPER-TYPE</t>
  </si>
  <si>
    <t>hello@markfromberg.com</t>
  </si>
  <si>
    <t>Typeface designer and developer,_x000D_
Â½ of Hypertype, TypeMedia 2014</t>
  </si>
  <si>
    <t>2013-10-31T16:07:02Z</t>
  </si>
  <si>
    <t>jenskutilek</t>
  </si>
  <si>
    <t>Jens Kutilek</t>
  </si>
  <si>
    <t>LUCASFONTS</t>
  </si>
  <si>
    <t>webmail@kutilek.de</t>
  </si>
  <si>
    <t>2013-01-04T13:58:37Z</t>
  </si>
  <si>
    <t>v-thakkar</t>
  </si>
  <si>
    <t>Vaishali Thakkar</t>
  </si>
  <si>
    <t>Linux kernel/Virtualization(Xen) engineer. Interested in everything related to (Operating U Embedded U Distributed) âˆ© Systems</t>
  </si>
  <si>
    <t>2014-03-30T04:06:31Z</t>
  </si>
  <si>
    <t>343max</t>
  </si>
  <si>
    <t>Max von Webel</t>
  </si>
  <si>
    <t>max@343max.de</t>
  </si>
  <si>
    <t>2008-11-11T20:12:04Z</t>
  </si>
  <si>
    <t>LukasReschke</t>
  </si>
  <si>
    <t>Lukas Reschke</t>
  </si>
  <si>
    <t>AUTHENTICK</t>
  </si>
  <si>
    <t>lukas@statuscode.ch</t>
  </si>
  <si>
    <t>My opinions are my own and unrelated to my employer. _x000D_
_x000D_
This is my personal profile.</t>
  </si>
  <si>
    <t>2011-06-27T14:52:26Z</t>
  </si>
  <si>
    <t>joaomilho</t>
  </si>
  <si>
    <t>Yo Lulkin</t>
  </si>
  <si>
    <t>PERSONIO.DE</t>
  </si>
  <si>
    <t>2010-06-18T01:13:39Z</t>
  </si>
  <si>
    <t>akrennmair</t>
  </si>
  <si>
    <t>Andreas Krennmair</t>
  </si>
  <si>
    <t>2008-12-20T09:03:56Z</t>
  </si>
  <si>
    <t>AbdullahBakir97</t>
  </si>
  <si>
    <t xml:space="preserve">Abdullah Bakir </t>
  </si>
  <si>
    <t>MYSTRO</t>
  </si>
  <si>
    <t>abdullah.bakir.204@gmail.com</t>
  </si>
  <si>
    <t xml:space="preserve">Python Developer_x000D_
_x000D_
</t>
  </si>
  <si>
    <t>2023-03-06T20:39:53Z</t>
  </si>
  <si>
    <t>kirel</t>
  </si>
  <si>
    <t>Daniel Kirsch</t>
  </si>
  <si>
    <t>IDALAB GMBH</t>
  </si>
  <si>
    <t>mail@danielkirs.ch</t>
  </si>
  <si>
    <t>2008-05-02T12:37:48Z</t>
  </si>
  <si>
    <t>mschneider</t>
  </si>
  <si>
    <t>Maximilian Schneider</t>
  </si>
  <si>
    <t>mail@maximilianschneider.net</t>
  </si>
  <si>
    <t>2009-10-24T17:02:17Z</t>
  </si>
  <si>
    <t>oleiade</t>
  </si>
  <si>
    <t>ThÃ©o Crevon</t>
  </si>
  <si>
    <t>I whisper to computers.</t>
  </si>
  <si>
    <t>2011-03-25T18:15:34Z</t>
  </si>
  <si>
    <t>robinpokorny</t>
  </si>
  <si>
    <t>Robin Pokorny</t>
  </si>
  <si>
    <t>PRODUCTBOARD</t>
  </si>
  <si>
    <t>me@robinpokorny.com</t>
  </si>
  <si>
    <t>A zealous software engineer</t>
  </si>
  <si>
    <t>2009-03-29T12:37:37Z</t>
  </si>
  <si>
    <t>PavelLaptev</t>
  </si>
  <si>
    <t>Pavel Laptev</t>
  </si>
  <si>
    <t>pawellaptew@gmail.com</t>
  </si>
  <si>
    <t>Digital designer, passionate about design, frontend, art, and architecture._x000D_
I create, write, and contribute to the community.</t>
  </si>
  <si>
    <t>2016-04-16T10:59:58Z</t>
  </si>
  <si>
    <t>froschi</t>
  </si>
  <si>
    <t>Thorsten Fischer</t>
  </si>
  <si>
    <t>2009-11-20T13:44:54Z</t>
  </si>
  <si>
    <t>tmylk</t>
  </si>
  <si>
    <t>Lev Konstantinovskiy</t>
  </si>
  <si>
    <t>2011-12-13T22:19:08Z</t>
  </si>
  <si>
    <t>EmaSuriano</t>
  </si>
  <si>
    <t>Ema Suriano</t>
  </si>
  <si>
    <t>REVOLUT</t>
  </si>
  <si>
    <t>emanuel.suriano@gmail.com</t>
  </si>
  <si>
    <t>Passionate Engineer driven by all the Javascript ecosystem. On my spare time I like to write and speak publicly</t>
  </si>
  <si>
    <t>2013-01-27T20:05:30Z</t>
  </si>
  <si>
    <t>philippkuehn</t>
  </si>
  <si>
    <t>Philipp KÃ¼hn</t>
  </si>
  <si>
    <t>hi@philippkuehn.com</t>
  </si>
  <si>
    <t>former founder tiptap</t>
  </si>
  <si>
    <t>2012-10-06T14:34:37Z</t>
  </si>
  <si>
    <t>LeonardoCardoso</t>
  </si>
  <si>
    <t>Leonardo Cardoso</t>
  </si>
  <si>
    <t xml:space="preserve">ï£¿ </t>
  </si>
  <si>
    <t>2012-05-24T18:08:14Z</t>
  </si>
  <si>
    <t>JeroenDeDauw</t>
  </si>
  <si>
    <t>Jeroen De Dauw</t>
  </si>
  <si>
    <t>PROFESSIONAL.WIKI</t>
  </si>
  <si>
    <t>jeroendedauw@gmail.com</t>
  </si>
  <si>
    <t>Professional Wiki Services:_x000D_
https://professional.wiki</t>
  </si>
  <si>
    <t>2009-10-28T23:11:09Z</t>
  </si>
  <si>
    <t>zeenix</t>
  </si>
  <si>
    <t>Zeeshan Ali Khan</t>
  </si>
  <si>
    <t>JUCR GMBH</t>
  </si>
  <si>
    <t>zeenix@gmail.com</t>
  </si>
  <si>
    <t>Free Software dev, Ecomodernist, into flying &amp; Rust, and love cats.</t>
  </si>
  <si>
    <t>2008-03-03T16:48:06Z</t>
  </si>
  <si>
    <t>Musti4096</t>
  </si>
  <si>
    <t>Mustafa AK</t>
  </si>
  <si>
    <t>RELAYR</t>
  </si>
  <si>
    <t xml:space="preserve">Jr. DevOps Engineer @relayr </t>
  </si>
  <si>
    <t>2019-07-27T12:26:59Z</t>
  </si>
  <si>
    <t>finnp</t>
  </si>
  <si>
    <t>Finn Pauls</t>
  </si>
  <si>
    <t>KARUGAMO AGENCY</t>
  </si>
  <si>
    <t>Porto/Berlin</t>
  </si>
  <si>
    <t>github@pauls.dev</t>
  </si>
  <si>
    <t>2011-06-10T09:10:36Z</t>
  </si>
  <si>
    <t>vecna</t>
  </si>
  <si>
    <t>Claudio Agosti</t>
  </si>
  <si>
    <t>AIFORENSICS @TRACKING-EXPOSED @HERMESCENTER @GLOBALEAKS</t>
  </si>
  <si>
    <t>Lisbon / Berlin / Milan</t>
  </si>
  <si>
    <t>vecna@globaleaks.org</t>
  </si>
  <si>
    <t xml:space="preserve">Privacy activist, digital rights developer, board member in @aiforensics and @hermescenter </t>
  </si>
  <si>
    <t>2009-05-28T14:08:36Z</t>
  </si>
  <si>
    <t>alfredfrancis</t>
  </si>
  <si>
    <t>Alfred Francis</t>
  </si>
  <si>
    <t>2012-03-29T07:04:17Z</t>
  </si>
  <si>
    <t>MichaelKohler</t>
  </si>
  <si>
    <t>Michael Kohler</t>
  </si>
  <si>
    <t>me@michaelkohler.info</t>
  </si>
  <si>
    <t>Lead Engineer @klarna | Mozilla volunteer | Mozilla Rep Alumni</t>
  </si>
  <si>
    <t>2010-07-13T03:14:33Z</t>
  </si>
  <si>
    <t>helmuthdu</t>
  </si>
  <si>
    <t>Helmuth Saatkamp</t>
  </si>
  <si>
    <t>helmuthdu@gmail.com</t>
  </si>
  <si>
    <t>love programming and the simple things of life. ;)</t>
  </si>
  <si>
    <t>2011-03-18T13:07:13Z</t>
  </si>
  <si>
    <t>polykit</t>
  </si>
  <si>
    <t>Polykit</t>
  </si>
  <si>
    <t>github@polykit.rocks</t>
  </si>
  <si>
    <t>DIY synthesizer related schematics, PCBs and modules</t>
  </si>
  <si>
    <t>2020-11-20T12:42:41Z</t>
  </si>
  <si>
    <t>harshil1712</t>
  </si>
  <si>
    <t>Harshil Agrawal</t>
  </si>
  <si>
    <t>Experimenting with tech, and sharing my learnings</t>
  </si>
  <si>
    <t>2016-05-01T13:21:36Z</t>
  </si>
  <si>
    <t>illume</t>
  </si>
  <si>
    <t>RenÃ© Dudfield</t>
  </si>
  <si>
    <t>renesd@gmail.com</t>
  </si>
  <si>
    <t>Hey hey! I'm RenÃ©, and I make things (like pygame). Using tech like Python, C, JavaScript/TypeScript, React/React Native. I â¤ï¸ data audio reactive video synths.</t>
  </si>
  <si>
    <t>2008-05-07T03:20:42Z</t>
  </si>
  <si>
    <t>0mp</t>
  </si>
  <si>
    <t>Mateusz Piotrowski</t>
  </si>
  <si>
    <t>0mp@FreeBSD.org</t>
  </si>
  <si>
    <t>@FreeBSD &amp; @OpenZFS</t>
  </si>
  <si>
    <t>2014-06-24T17:52:23Z</t>
  </si>
  <si>
    <t>robinboehm</t>
  </si>
  <si>
    <t>Robin BÃ¶hm</t>
  </si>
  <si>
    <t>WORKSHOPS-DE</t>
  </si>
  <si>
    <t>Berlin , Germany</t>
  </si>
  <si>
    <t>robin.boehm@workshops.de</t>
  </si>
  <si>
    <t>2011-05-31T10:27:43Z</t>
  </si>
  <si>
    <t>katiayn</t>
  </si>
  <si>
    <t>KÃ¡tia Nakamura</t>
  </si>
  <si>
    <t>me@katia.dev</t>
  </si>
  <si>
    <t>From ðŸ‡§ðŸ‡· Based in ðŸ‡©ðŸ‡ª MSc Computer Science ðŸŽ“  Django Specialist | Backend Dev ðŸ‘©ðŸ½â€ðŸ’» DSF Board member âœ¨ Travel | Photography | Technology</t>
  </si>
  <si>
    <t>2015-08-04T23:51:57Z</t>
  </si>
  <si>
    <t>kurasu</t>
  </si>
  <si>
    <t>Claes Johanson</t>
  </si>
  <si>
    <t>BITWIG</t>
  </si>
  <si>
    <t>claes@bitwig.com</t>
  </si>
  <si>
    <t>One of the founders of @bitwig and vember audio.</t>
  </si>
  <si>
    <t>2014-06-12T14:17:30Z</t>
  </si>
  <si>
    <t>tunavargi</t>
  </si>
  <si>
    <t>Tuna Vargi</t>
  </si>
  <si>
    <t>2010-12-08T13:38:28Z</t>
  </si>
  <si>
    <t>miconda</t>
  </si>
  <si>
    <t>Daniel-Constantin Mierla</t>
  </si>
  <si>
    <t>ASIPTO (ASIPTO.COM)</t>
  </si>
  <si>
    <t>Co-Founder Kamailio SIP Server Project (@kamailio). Working for Asipto (@asipto). Open source and RTC advocate.</t>
  </si>
  <si>
    <t>2010-01-18T18:21:22Z</t>
  </si>
  <si>
    <t>mrchrisadams</t>
  </si>
  <si>
    <t>Chris Adams</t>
  </si>
  <si>
    <t>PRODUCT SCIENCE</t>
  </si>
  <si>
    <t>Berlin, and occasionally London</t>
  </si>
  <si>
    <t>chris@productscience.co.uk</t>
  </si>
  <si>
    <t>Environmentally focussed tech generalist. User research, product management and strategy, and yes, even code sometimes</t>
  </si>
  <si>
    <t>2008-07-22T16:00:07Z</t>
  </si>
  <si>
    <t>mohsenoid</t>
  </si>
  <si>
    <t>Mohsen Mirhoseini</t>
  </si>
  <si>
    <t>FIREWORK</t>
  </si>
  <si>
    <t>msn.mirhoseini@gmail.com</t>
  </si>
  <si>
    <t>2013-08-01T05:57:41Z</t>
  </si>
  <si>
    <t>tmspzz</t>
  </si>
  <si>
    <t>Tommaso Piazza</t>
  </si>
  <si>
    <t>WIREAPP</t>
  </si>
  <si>
    <t>Works on my machine</t>
  </si>
  <si>
    <t>2010-02-04T15:09:49Z</t>
  </si>
  <si>
    <t>tanvir002700</t>
  </si>
  <si>
    <t>Tanvir Hasan Anick</t>
  </si>
  <si>
    <t>2014-09-10T13:26:22Z</t>
  </si>
  <si>
    <t>cristianoliveira</t>
  </si>
  <si>
    <t>Cristian Oliveira</t>
  </si>
  <si>
    <t>public+github@cristianoliveira.com</t>
  </si>
  <si>
    <t>I've contributed to many important open-source projects. Nothing was merged tho. _x000D_
_x000D_
Author of @ClubVim on Twitter.</t>
  </si>
  <si>
    <t>2013-03-25T01:41:57Z</t>
  </si>
  <si>
    <t>HeyPouya</t>
  </si>
  <si>
    <t>Pouya Heydari</t>
  </si>
  <si>
    <t>pouyaheydary@gmail.com</t>
  </si>
  <si>
    <t xml:space="preserve">ðŸ‘¨â€ðŸ’» Android Engineer @sumup </t>
  </si>
  <si>
    <t>2015-08-09T15:08:27Z</t>
  </si>
  <si>
    <t>mymindishazel</t>
  </si>
  <si>
    <t>ember / mint</t>
  </si>
  <si>
    <t>FUNKINCREW</t>
  </si>
  <si>
    <t>gh@dissociat.ing</t>
  </si>
  <si>
    <t>experienced software engineer, devops person (debian, k8s), renowned self-hoster</t>
  </si>
  <si>
    <t>2017-06-11T18:56:30Z</t>
  </si>
  <si>
    <t>codeliner</t>
  </si>
  <si>
    <t>Alexander Miertsch</t>
  </si>
  <si>
    <t>PROOPHSOFTWARE</t>
  </si>
  <si>
    <t>Potsdam/Berlin</t>
  </si>
  <si>
    <t>10+ years PHP and JavaScript developer</t>
  </si>
  <si>
    <t>2013-07-31T19:15:17Z</t>
  </si>
  <si>
    <t>rockstaedt</t>
  </si>
  <si>
    <t>Eric RockstÃ¤dt</t>
  </si>
  <si>
    <t xml:space="preserve">Enthusiastic about building digital tools that contribute to a greener future ðŸŒ± </t>
  </si>
  <si>
    <t>2020-04-22T17:02:15Z</t>
  </si>
  <si>
    <t>rishimohan</t>
  </si>
  <si>
    <t>Rishi Mohan</t>
  </si>
  <si>
    <t>iamrishi.ms@gmail.com</t>
  </si>
  <si>
    <t>Design and Code</t>
  </si>
  <si>
    <t>2015-08-29T15:50:23Z</t>
  </si>
  <si>
    <t>myobie</t>
  </si>
  <si>
    <t>Nathan</t>
  </si>
  <si>
    <t>SHAREUP</t>
  </si>
  <si>
    <t>me@nathanherald.com</t>
  </si>
  <si>
    <t>Building new.space</t>
  </si>
  <si>
    <t>2008-02-11T02:18:45Z</t>
  </si>
  <si>
    <t>chris-rock</t>
  </si>
  <si>
    <t>Christoph Hartmann</t>
  </si>
  <si>
    <t>MONDOO</t>
  </si>
  <si>
    <t>chris@lollyrock.com</t>
  </si>
  <si>
    <t>Founder of Mondoo, Tech leader, Co-Creator of DevSec and InSpec.</t>
  </si>
  <si>
    <t>2011-11-07T16:38:29Z</t>
  </si>
  <si>
    <t>khanzadimahdi</t>
  </si>
  <si>
    <t>mahdikhanzadi</t>
  </si>
  <si>
    <t>just a simple programmer.</t>
  </si>
  <si>
    <t>2013-12-31T08:25:23Z</t>
  </si>
  <si>
    <t>sunsided</t>
  </si>
  <si>
    <t>Markus Mayer</t>
  </si>
  <si>
    <t>MEDIAN-KLINIKEN</t>
  </si>
  <si>
    <t>Try all the things! â€” Head of Engineering Digital Health at Median Kliniken</t>
  </si>
  <si>
    <t>2010-11-24T17:45:13Z</t>
  </si>
  <si>
    <t>MedRedha</t>
  </si>
  <si>
    <t>Med Redha Khelifi</t>
  </si>
  <si>
    <t>WUUD-TEAM CO-FOUNDER/MOBILE EXPERT</t>
  </si>
  <si>
    <t>Berlin, Germany / Algiers, Algeria</t>
  </si>
  <si>
    <t>redha@wuud-team.com</t>
  </si>
  <si>
    <t>Mobile alchemist: Turning caffeine into code ðŸ‘¨â€ðŸ’» Debugging by day, dreaming in JavaScript by night. Turning challenges into features, one commit at a time.</t>
  </si>
  <si>
    <t>2019-04-20T20:10:06Z</t>
  </si>
  <si>
    <t>fabianfett</t>
  </si>
  <si>
    <t>Fabian Fett</t>
  </si>
  <si>
    <t>APPLE</t>
  </si>
  <si>
    <t>fabianfett@apple.com</t>
  </si>
  <si>
    <t>Swift on Server aficionado.</t>
  </si>
  <si>
    <t>2014-02-25T09:33:57Z</t>
  </si>
  <si>
    <t>durannumit</t>
  </si>
  <si>
    <t>Ãœmit Duran</t>
  </si>
  <si>
    <t>durannumit@gmail.com</t>
  </si>
  <si>
    <t>Flutter Developer</t>
  </si>
  <si>
    <t>2015-07-24T13:29:58Z</t>
  </si>
  <si>
    <t>divyenduz</t>
  </si>
  <si>
    <t>Divyendu Singh</t>
  </si>
  <si>
    <t>mail@divyendusingh.com</t>
  </si>
  <si>
    <t xml:space="preserve">Learn and build. </t>
  </si>
  <si>
    <t>2011-04-22T20:14:18Z</t>
  </si>
  <si>
    <t>cornelius</t>
  </si>
  <si>
    <t>Cornelius Schumacher</t>
  </si>
  <si>
    <t>DB SYSTEL GMBH</t>
  </si>
  <si>
    <t>schumacher@kde.org</t>
  </si>
  <si>
    <t>2008-09-09T12:42:20Z</t>
  </si>
  <si>
    <t>anna-carroll</t>
  </si>
  <si>
    <t>Anna Carroll</t>
  </si>
  <si>
    <t>2015-02-17T20:55:28Z</t>
  </si>
  <si>
    <t>pierluigiferrari</t>
  </si>
  <si>
    <t>Pierluigi Ferrari</t>
  </si>
  <si>
    <t>pierluigi.ferrari@gmx.com</t>
  </si>
  <si>
    <t>2016-02-23T21:04:10Z</t>
  </si>
  <si>
    <t>Fluepke</t>
  </si>
  <si>
    <t>FlÃ¼pke (Carl Fabian LÃ¼pke)</t>
  </si>
  <si>
    <t>MOD0</t>
  </si>
  <si>
    <t>â˜º@fluep.ke</t>
  </si>
  <si>
    <t>IT Security Analyst | Former Network Engineer | AS208135 | Scuba Diver</t>
  </si>
  <si>
    <t>2014-05-06T20:59:48Z</t>
  </si>
  <si>
    <t>adewes</t>
  </si>
  <si>
    <t>Andreas Dewes</t>
  </si>
  <si>
    <t>2011-01-06T09:08:16Z</t>
  </si>
  <si>
    <t>Schaeff</t>
  </si>
  <si>
    <t>Thibaut Schaeffer</t>
  </si>
  <si>
    <t>ZOKRATES @ETHEREUM @PROJECTPROVENANCE</t>
  </si>
  <si>
    <t>thibaut@schaeff.fr</t>
  </si>
  <si>
    <t>2014-04-29T16:40:23Z</t>
  </si>
  <si>
    <t>luqmanoop</t>
  </si>
  <si>
    <t>Luqman Olushi Opemipo</t>
  </si>
  <si>
    <t>olushilukmon03@gmail.com</t>
  </si>
  <si>
    <t>Learn. Build. Repeat</t>
  </si>
  <si>
    <t>2013-08-03T12:43:27Z</t>
  </si>
  <si>
    <t>BenjaminBossan</t>
  </si>
  <si>
    <t>Benjamin Bossan</t>
  </si>
  <si>
    <t>2013-12-20T10:07:50Z</t>
  </si>
  <si>
    <t>amn41</t>
  </si>
  <si>
    <t>Alan Nichol</t>
  </si>
  <si>
    <t>RASAHQ</t>
  </si>
  <si>
    <t>alan@rasa.com</t>
  </si>
  <si>
    <t xml:space="preserve">co-founder &amp; CTO at @RasaHQ </t>
  </si>
  <si>
    <t>2013-07-29T15:13:15Z</t>
  </si>
  <si>
    <t>adzialocha</t>
  </si>
  <si>
    <t>adz</t>
  </si>
  <si>
    <t>2012-06-06T09:54:29Z</t>
  </si>
  <si>
    <t>natalyapeixoto</t>
  </si>
  <si>
    <t>Natalya Peixoto</t>
  </si>
  <si>
    <t xml:space="preserve">Frontend Developer_x000D_
_x000D_
</t>
  </si>
  <si>
    <t>2018-01-20T12:08:01Z</t>
  </si>
  <si>
    <t>znarf</t>
  </si>
  <si>
    <t>FranÃ§ois Hodierne</t>
  </si>
  <si>
    <t>OPENCOLLECTIVE</t>
  </si>
  <si>
    <t>francois@hodierne.net</t>
  </si>
  <si>
    <t>French in Berlin. Engineering &amp; CTO @opencollective</t>
  </si>
  <si>
    <t>2008-02-25T09:47:59Z</t>
  </si>
  <si>
    <t>mikiobraun</t>
  </si>
  <si>
    <t>Mikio L. Braun</t>
  </si>
  <si>
    <t>SENIOR PRINCIPAL APPLIED SCIENTIST, ZALANDO</t>
  </si>
  <si>
    <t>Helping companies and people put Machine Learning into practice.</t>
  </si>
  <si>
    <t>2009-05-06T09:10:54Z</t>
  </si>
  <si>
    <t>ogoffart</t>
  </si>
  <si>
    <t>Olivier Goffart</t>
  </si>
  <si>
    <t>SLINT-UI</t>
  </si>
  <si>
    <t>olivier.goffart@slint.dev</t>
  </si>
  <si>
    <t>Woboq &amp; Slint co-founder</t>
  </si>
  <si>
    <t>2011-08-04T15:40:40Z</t>
  </si>
  <si>
    <t>vadorovsky</t>
  </si>
  <si>
    <t>Michal Rostecki</t>
  </si>
  <si>
    <t>2017-12-19T14:53:14Z</t>
  </si>
  <si>
    <t>chootka</t>
  </si>
  <si>
    <t>Sarah</t>
  </si>
  <si>
    <t>COSMICBERLIN</t>
  </si>
  <si>
    <t>New York, NY + Berlin, DE</t>
  </si>
  <si>
    <t>com@chootka.com</t>
  </si>
  <si>
    <t>2011-07-27T23:32:06Z</t>
  </si>
  <si>
    <t>mzaks</t>
  </si>
  <si>
    <t>Maxim Zaks</t>
  </si>
  <si>
    <t>maxim.zaks@gmail.com</t>
  </si>
  <si>
    <t>2010-07-28T15:42:35Z</t>
  </si>
  <si>
    <t>knutin</t>
  </si>
  <si>
    <t>Knut Nesheim</t>
  </si>
  <si>
    <t>knutin@gmail.com</t>
  </si>
  <si>
    <t>2010-08-14T17:58:24Z</t>
  </si>
  <si>
    <t>batin</t>
  </si>
  <si>
    <t>BatÄ±n EryÄ±lmaz</t>
  </si>
  <si>
    <t>batineryilmaz@icloud.com</t>
  </si>
  <si>
    <t>Formerly:_x000D_
@LeoARApp_x000D_
@Kommunity_x000D_
@svhawks_x000D_
@mojilala</t>
  </si>
  <si>
    <t>2017-12-27T23:29:07Z</t>
  </si>
  <si>
    <t>reactormonk</t>
  </si>
  <si>
    <t>Simon Hafner</t>
  </si>
  <si>
    <t>2009-01-25T19:32:13Z</t>
  </si>
  <si>
    <t>nulltea</t>
  </si>
  <si>
    <t>timofey</t>
  </si>
  <si>
    <t>RESEARCH ENGINEER @CHAINSAFE</t>
  </si>
  <si>
    <t>timofey.luin@gmail.com</t>
  </si>
  <si>
    <t>2016-11-06T14:59:23Z</t>
  </si>
  <si>
    <t>Shpota</t>
  </si>
  <si>
    <t>Sasha Shpota</t>
  </si>
  <si>
    <t xml:space="preserve">_x000D_
Builder_x000D_
_x000D_
ðŸ‘¨â€ðŸ’»: Kotlin, TypeScript, Node.js, Rust, Go_x000D_
_x000D_
_x000D_
</t>
  </si>
  <si>
    <t>2013-10-08T18:33:42Z</t>
  </si>
  <si>
    <t>holgerd77</t>
  </si>
  <si>
    <t>Holger Drewes</t>
  </si>
  <si>
    <t>2011-07-21T21:15:14Z</t>
  </si>
  <si>
    <t>Dineshkarthik</t>
  </si>
  <si>
    <t>DK</t>
  </si>
  <si>
    <t>TESLA</t>
  </si>
  <si>
    <t>Pythonista, Data Geek</t>
  </si>
  <si>
    <t>2014-05-31T06:00:24Z</t>
  </si>
  <si>
    <t>zutrinken</t>
  </si>
  <si>
    <t>MOBILE.DE GMBH</t>
  </si>
  <si>
    <t xml:space="preserve"> Í°ÍŸÒ‰ÍŸÒ‰ÍŸÒ‰ÍŸÒ‰ÍŸÒ‰ÍŸÒ‰Í°ÍŸÒ‰ÍŸÒ‰ÍŸÒ‰ÍŸÒ‰ÍŸÒ‰ÍŸÒ‰Ù‡ÒˆÌ¿ÒˆÌ¿ÒˆÌ¿ÒˆÌ¿ÒˆÌ¿ÒˆÌ¿ÒˆÌ¿ÒˆÌ¿ÒˆÌ¿ÒˆÌ¿ÒˆÌ¿ÒˆÌ¿ÒˆÌ¿ÒˆÌ¿ÒˆÍ°ÍŸÒ‰ÍŸÒ‰ÍŸÒ‰ÍŸÒ‰ÍŸÒ‰ÍŸÒ‰Í°Ò‰ÍžÒ‰ÍŸÒ‰ÍžÒ‰ÍŸÒ‰ÍžÒ‰ÍŸÒ‰ÍžÒ‰ÍŸÍ°Ò‰Ì…Ò‰Ì…Ò‰Ì…Ò‰Ì…Ò‰Ì…Í°ÒˆÌŸÒˆÌŸÒˆÌŸÒˆÌŸÒˆÌŸÒˆÌŸÒˆÌŸÒˆÌŸÒˆÌŸÒˆÍ°Ò‰Ì…Ò‰Ì…Ò‰Ì…Ò‰Ì…Ò‰Ì…Í°ÍŸÒ‰ÍŸÒ‰ÍŸÒ‰ÍŸÒ‰ÍŸÒ‰ÍŸ_x000D_
ÙÌ¶Ì¶Ì·ÌµÌ¡ÒˆÌ§ÌÍ˜Í ÒˆÍÍÌ·Ì´Ì´</t>
  </si>
  <si>
    <t>2011-07-01T12:57:31Z</t>
  </si>
  <si>
    <t>mustafaozhan</t>
  </si>
  <si>
    <t>Mustafa Ozhan</t>
  </si>
  <si>
    <t>WETTERCOM</t>
  </si>
  <si>
    <t>mr.mustafa.ozhan@gmail.com</t>
  </si>
  <si>
    <t>Mobile Development Teamlead</t>
  </si>
  <si>
    <t>2017-07-08T12:58:39Z</t>
  </si>
  <si>
    <t>nmicht</t>
  </si>
  <si>
    <t>Michelle Torres</t>
  </si>
  <si>
    <t>hi@michelletorres.dev</t>
  </si>
  <si>
    <t>Engineering Leader â€¢ Teacher â€¢ Speaker â€¢ Free &amp; Open Source advocate</t>
  </si>
  <si>
    <t>2012-05-17T19:50:48Z</t>
  </si>
  <si>
    <t>carlosmn</t>
  </si>
  <si>
    <t>Carlos MartÃ­n Nieto</t>
  </si>
  <si>
    <t>cmn@dwim.me</t>
  </si>
  <si>
    <t>2010-07-18T10:48:31Z</t>
  </si>
  <si>
    <t>roquebuarquejr</t>
  </si>
  <si>
    <t>Roque Buarque Junior</t>
  </si>
  <si>
    <t>2015-03-23T12:05:36Z</t>
  </si>
  <si>
    <t>dmstern</t>
  </si>
  <si>
    <t>Daniel Morgenstern</t>
  </si>
  <si>
    <t>]INIT[ AG FÃœR DIGITALE KOMMUNIKATION</t>
  </si>
  <si>
    <t>morgenstern.daniel@gmail.com</t>
  </si>
  <si>
    <t xml:space="preserve"> Passionate web developer from Berlin.</t>
  </si>
  <si>
    <t>2013-08-13T07:29:46Z</t>
  </si>
  <si>
    <t>Robbepop</t>
  </si>
  <si>
    <t>Robin Freyler</t>
  </si>
  <si>
    <t>robin.freyler@gmail.com</t>
  </si>
  <si>
    <t>ðŸ¦€Rustacean with C &amp; C++ origins - Enthusiastic about WebAssembly, compiler technology, virtual machines &amp; SAT solving.</t>
  </si>
  <si>
    <t>2014-07-17T16:18:29Z</t>
  </si>
  <si>
    <t>soulshake</t>
  </si>
  <si>
    <t>AJ Bowen</t>
  </si>
  <si>
    <t>QUANTGENE</t>
  </si>
  <si>
    <t>Cloud Operations Engineer</t>
  </si>
  <si>
    <t>2012-03-29T04:04:57Z</t>
  </si>
  <si>
    <t>bio word count</t>
  </si>
  <si>
    <t>BIO WORD COUNT</t>
  </si>
  <si>
    <t>Row Labels</t>
  </si>
  <si>
    <t>TRUE</t>
  </si>
  <si>
    <t>(blank)</t>
  </si>
  <si>
    <t>Grand Total</t>
  </si>
  <si>
    <t>Average of following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</si>
</sst>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sha Chowdary" refreshedDate="45596.987184490739" createdVersion="8" refreshedVersion="8" minRefreshableVersion="3" recordCount="601" xr:uid="{4E2B48FC-8628-4418-AA39-FE9954E2E3CF}">
  <cacheSource type="worksheet">
    <worksheetSource ref="A1:L602" sheet="users (1)"/>
  </cacheSource>
  <cacheFields count="12">
    <cacheField name="login" numFmtId="0">
      <sharedItems/>
    </cacheField>
    <cacheField name="name" numFmtId="0">
      <sharedItems containsBlank="1"/>
    </cacheField>
    <cacheField name="company" numFmtId="0">
      <sharedItems containsBlank="1"/>
    </cacheField>
    <cacheField name="location" numFmtId="0">
      <sharedItems/>
    </cacheField>
    <cacheField name="email" numFmtId="0">
      <sharedItems containsBlank="1"/>
    </cacheField>
    <cacheField name="hireable" numFmtId="0">
      <sharedItems containsBlank="1" count="2">
        <b v="1"/>
        <m/>
      </sharedItems>
    </cacheField>
    <cacheField name="bio" numFmtId="0">
      <sharedItems containsBlank="1" longText="1"/>
    </cacheField>
    <cacheField name="bio word count" numFmtId="0">
      <sharedItems containsSemiMixedTypes="0" containsString="0" containsNumber="1" containsInteger="1" minValue="1" maxValue="31"/>
    </cacheField>
    <cacheField name="public_repos" numFmtId="0">
      <sharedItems containsSemiMixedTypes="0" containsString="0" containsNumber="1" containsInteger="1" minValue="0" maxValue="595"/>
    </cacheField>
    <cacheField name="followers" numFmtId="0">
      <sharedItems containsSemiMixedTypes="0" containsString="0" containsNumber="1" containsInteger="1" minValue="201" maxValue="26445"/>
    </cacheField>
    <cacheField name="following" numFmtId="0">
      <sharedItems containsSemiMixedTypes="0" containsString="0" containsNumber="1" containsInteger="1" minValue="0" maxValue="6909"/>
    </cacheField>
    <cacheField name="created_a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1">
  <r>
    <s v="tiangolo"/>
    <s v="SebastiÃ¡n RamÃ­rez"/>
    <m/>
    <s v="Berlin, Germany"/>
    <s v="tiangolo@gmail.com"/>
    <x v="0"/>
    <s v="Creator of FastAPI, Typer, SQLModel, Asyncer, etc. ðŸš€_x000d__x000a_From ðŸ‡¨ðŸ‡´ in ðŸ‡©ðŸ‡ª. _x000d__x000a_Open Source, APIs, and tools for data/ML. ðŸ¤– Python, TypeScript, Docker, etc."/>
    <n v="23"/>
    <n v="73"/>
    <n v="26445"/>
    <n v="3"/>
    <s v="2012-01-12T22:37:04Z"/>
  </r>
  <r>
    <s v="schacon"/>
    <s v="Scott Chacon"/>
    <s v="GITBUTLERAPP"/>
    <s v="Berlin, Germany"/>
    <s v="schacon@gmail.com"/>
    <x v="1"/>
    <m/>
    <n v="1"/>
    <n v="215"/>
    <n v="13757"/>
    <n v="26"/>
    <s v="2008-01-27T17:19:28Z"/>
  </r>
  <r>
    <s v="rwieruch"/>
    <s v="Robin Wieruch"/>
    <m/>
    <s v="Berlin/Remote"/>
    <m/>
    <x v="0"/>
    <s v="React &amp; Next.js â€¢ JavaScript &amp; TypeScript â€¢ Freelance Full-Stack Web Developer â€¢ Technical Co-Founder â€¢ Father of 2 â€¢ multiple-time GitHub Star"/>
    <n v="23"/>
    <n v="151"/>
    <n v="8618"/>
    <n v="30"/>
    <s v="2012-10-03T15:11:48Z"/>
  </r>
  <r>
    <s v="shuding"/>
    <s v="Shu Ding"/>
    <s v="VERCEL"/>
    <s v="Berlin"/>
    <s v="g@shud.in"/>
    <x v="1"/>
    <s v="Be curious. Read widely. Try new things. â€” aaronsw"/>
    <n v="9"/>
    <n v="149"/>
    <n v="6756"/>
    <n v="345"/>
    <s v="2013-02-23T07:46:30Z"/>
  </r>
  <r>
    <s v="android10"/>
    <s v="Fernando Cejas"/>
    <s v="PEPPR-IO"/>
    <s v="Berlin, Germany"/>
    <s v="android10@fernandocejas.com"/>
    <x v="0"/>
    <s v="Quantum Engineering at @Qruise-ai. Former Director at @wireapp. Former @soundcloud Core Engineering. Ex @IBM. Curious learner. Geek. OPEN SOURCE Advocate."/>
    <n v="20"/>
    <n v="79"/>
    <n v="6716"/>
    <n v="85"/>
    <s v="2012-01-20T21:35:31Z"/>
  </r>
  <r>
    <s v="marijnh"/>
    <s v="Marijn Haverbeke"/>
    <s v="NOT INTERESTED IN RECRUITER MAIL"/>
    <s v="Berlin"/>
    <s v="marijn@haverbeke.berlin"/>
    <x v="1"/>
    <s v="Independent open-source programmer person"/>
    <n v="4"/>
    <n v="54"/>
    <n v="6523"/>
    <n v="0"/>
    <s v="2009-10-25T14:34:39Z"/>
  </r>
  <r>
    <s v="mxmnk"/>
    <s v="Jerzy"/>
    <m/>
    <s v="Berlin, Germany"/>
    <m/>
    <x v="1"/>
    <s v="â­ï¸ Passionate Full-Stack Developer â­ï¸"/>
    <n v="5"/>
    <n v="7"/>
    <n v="6460"/>
    <n v="6909"/>
    <s v="2018-12-20T17:27:13Z"/>
  </r>
  <r>
    <s v="nikic"/>
    <s v="Nikita Popov"/>
    <s v="RED HAT"/>
    <s v="Berlin, Germany"/>
    <s v="github@npopov.com"/>
    <x v="1"/>
    <m/>
    <n v="1"/>
    <n v="110"/>
    <n v="6232"/>
    <n v="25"/>
    <s v="2010-03-04T21:22:25Z"/>
  </r>
  <r>
    <s v="greenrobot"/>
    <s v="Markus Junginger"/>
    <s v="OBJECTBOX"/>
    <s v="Berlin"/>
    <m/>
    <x v="0"/>
    <s v="CTO and co-founder at objectbox.io, creator of EventBus and greenDAO."/>
    <n v="10"/>
    <n v="22"/>
    <n v="5506"/>
    <n v="4"/>
    <s v="2010-04-12T14:18:19Z"/>
  </r>
  <r>
    <s v="sebastianruder"/>
    <s v="Sebastian Ruder"/>
    <s v="GOOGLE"/>
    <s v="Berlin, Germany"/>
    <s v="sebastian@ruder.io"/>
    <x v="0"/>
    <s v="Research Scientist @Google"/>
    <n v="3"/>
    <n v="32"/>
    <n v="5466"/>
    <n v="6"/>
    <s v="2014-02-26T10:36:21Z"/>
  </r>
  <r>
    <s v="vakila"/>
    <s v="Anjana Vakil"/>
    <m/>
    <s v="San Francisco | Berlin"/>
    <s v="contact@anjana.dev"/>
    <x v="1"/>
    <s v="Independent Developer Educator &amp; Software Engineer"/>
    <n v="6"/>
    <n v="48"/>
    <n v="5294"/>
    <n v="0"/>
    <s v="2013-09-10T07:10:50Z"/>
  </r>
  <r>
    <s v="tonsky"/>
    <s v="Nikita Prokopov"/>
    <m/>
    <s v="Berlin, Germany"/>
    <s v="niki@tonsky.me"/>
    <x v="1"/>
    <m/>
    <n v="1"/>
    <n v="115"/>
    <n v="5080"/>
    <n v="42"/>
    <s v="2010-05-24T05:43:30Z"/>
  </r>
  <r>
    <s v="felixge"/>
    <s v="Felix GeisendÃ¶rfer"/>
    <s v="DATADOG"/>
    <s v="Berlin, Germany"/>
    <m/>
    <x v="0"/>
    <m/>
    <n v="1"/>
    <n v="285"/>
    <n v="4040"/>
    <n v="14"/>
    <s v="2008-06-25T14:24:37Z"/>
  </r>
  <r>
    <s v="alexeygrigorev"/>
    <s v="Alexey Grigorev"/>
    <s v="DATATALKSCLUB"/>
    <s v="Berlin, Germany"/>
    <m/>
    <x v="0"/>
    <s v="Running @DataTalksClub and hacking some personal projects"/>
    <n v="7"/>
    <n v="129"/>
    <n v="3936"/>
    <n v="0"/>
    <s v="2011-06-25T13:16:52Z"/>
  </r>
  <r>
    <s v="hanxiao"/>
    <s v="Han Xiao"/>
    <s v="JINA-AI"/>
    <s v="Berlin, Germany"/>
    <s v="han.xiao@jina.ai"/>
    <x v="1"/>
    <s v="CEO @jina-ai"/>
    <n v="2"/>
    <n v="106"/>
    <n v="3859"/>
    <n v="36"/>
    <s v="2012-07-25T15:52:49Z"/>
  </r>
  <r>
    <s v="ines"/>
    <s v="Ines Montani"/>
    <s v="FOUNDER @EXPLOSION"/>
    <s v="Berlin, Germany"/>
    <s v="ines@ines.io"/>
    <x v="1"/>
    <s v="Digital native and software developer working on AI, Machine Learning &amp; NLP. Founder @explosion, developing spaCy &amp; Prodigy._x000d__x000a__x000d__x000a_(Portrait: Sarah Andersen)"/>
    <n v="20"/>
    <n v="19"/>
    <n v="3819"/>
    <n v="1"/>
    <s v="2015-08-04T13:15:33Z"/>
  </r>
  <r>
    <s v="apaszke"/>
    <s v="Adam Paszke"/>
    <s v="GOOGLE"/>
    <s v="Berlin, Germany"/>
    <s v="adam.paszke@gmail.com"/>
    <x v="1"/>
    <s v="Author of PyTorch. Research Scientist @ Google."/>
    <n v="7"/>
    <n v="73"/>
    <n v="3721"/>
    <n v="11"/>
    <s v="2013-05-31T20:51:12Z"/>
  </r>
  <r>
    <s v="lewagon"/>
    <s v="Le Wagon"/>
    <m/>
    <s v="Paris, London, Berlin &amp; more"/>
    <s v="contact@lewagon.com"/>
    <x v="1"/>
    <s v="Coding School bringing Technical Skills to Creative People"/>
    <n v="8"/>
    <n v="175"/>
    <n v="3635"/>
    <n v="0"/>
    <s v="2013-09-16T13:20:52Z"/>
  </r>
  <r>
    <s v="codebytere"/>
    <s v="Shelley Vohr"/>
    <s v="MICROSOFT"/>
    <s v="Berlin"/>
    <s v="shelley.vohr@gmail.com"/>
    <x v="1"/>
    <s v="core eng @electron. collaborator @nodejs. organizer @queerjs ðŸ³ï¸â€ðŸŒˆ. misc @tc39 @openjs-foundation. way too online. often caffeinated. cruciverbalist."/>
    <n v="17"/>
    <n v="105"/>
    <n v="3609"/>
    <n v="10"/>
    <s v="2012-07-24T19:05:37Z"/>
  </r>
  <r>
    <s v="prisma"/>
    <s v="Prisma"/>
    <m/>
    <s v="Berlin &amp; Worldwide"/>
    <s v="hello@prisma.io"/>
    <x v="1"/>
    <s v="Prisma makes working with databases easy"/>
    <n v="6"/>
    <n v="152"/>
    <n v="3562"/>
    <n v="0"/>
    <s v="2016-02-13T15:22:35Z"/>
  </r>
  <r>
    <s v="armancodv"/>
    <s v="Arman Kolahan"/>
    <s v="UNITE"/>
    <s v="Berlin, Germany"/>
    <s v="akolahan@gmail.com"/>
    <x v="0"/>
    <s v="Lead Frontend Engineer proficient in TypeScript/React, PhD graduate, writer, with expertise in various programming languages."/>
    <n v="15"/>
    <n v="51"/>
    <n v="3227"/>
    <n v="5565"/>
    <s v="2014-10-23T07:22:44Z"/>
  </r>
  <r>
    <s v="peterbourgon"/>
    <s v="Peter Bourgon"/>
    <m/>
    <s v="Berlin"/>
    <m/>
    <x v="1"/>
    <s v="The official GitHub account of Dwayne 'The Rock' Johnson"/>
    <n v="9"/>
    <n v="56"/>
    <n v="3115"/>
    <n v="0"/>
    <s v="2009-08-12T09:58:25Z"/>
  </r>
  <r>
    <s v="vanhauser-thc"/>
    <s v="van Hauser"/>
    <s v="THE HACKER'S CHOICE | MH-SEC | ME | MYSELF"/>
    <s v="Berlin"/>
    <s v="vh@thc.org"/>
    <x v="0"/>
    <s v="Security researcher since 1994_x000d__x000a__x000d__x000a_https://www.mh-sec.de/_x000d__x000a_https://www.thc.org/"/>
    <n v="4"/>
    <n v="44"/>
    <n v="3069"/>
    <n v="50"/>
    <s v="2014-04-24T14:44:32Z"/>
  </r>
  <r>
    <s v="KittyGiraudel"/>
    <s v="Kitty Giraudel"/>
    <s v="COFENSTER"/>
    <s v="Berlin"/>
    <m/>
    <x v="1"/>
    <s v="Non-binary trans accessibility &amp; diversity advocate, frontend developer, author. Real life cat."/>
    <n v="12"/>
    <n v="51"/>
    <n v="2991"/>
    <n v="0"/>
    <s v="2012-06-25T13:22:16Z"/>
  </r>
  <r>
    <s v="dashersw"/>
    <s v="Armagan Amcalar"/>
    <s v="COYOTIV"/>
    <s v="Berlin"/>
    <s v="armagan@amcalar.com"/>
    <x v="1"/>
    <s v="Software architect, leader, lecturer, public speaker, mentor, entrepreneur, JS evangelist, electronics engineer, guitarist, singer, radio host."/>
    <n v="16"/>
    <n v="200"/>
    <n v="2922"/>
    <n v="5"/>
    <s v="2011-03-29T23:27:54Z"/>
  </r>
  <r>
    <s v="codepo8"/>
    <s v="Christian Heilmann"/>
    <m/>
    <s v="Berlin, Germany"/>
    <s v="chris.heilmann@gmail.com"/>
    <x v="1"/>
    <s v="Engineer who worked for Microsoft/Mozilla/Yahoo on browsers, developer tools and anything JavaScript related. AI/ML enthusiast, writer and trainer."/>
    <n v="18"/>
    <n v="319"/>
    <n v="2717"/>
    <n v="6"/>
    <s v="2008-06-12T17:50:08Z"/>
  </r>
  <r>
    <s v="nlohmann"/>
    <s v="Niels Lohmann"/>
    <m/>
    <s v="Berlin, Germany"/>
    <s v="mail@nlohmann.me"/>
    <x v="0"/>
    <s v="You may know me from my JSON library for C++."/>
    <n v="10"/>
    <n v="42"/>
    <n v="2654"/>
    <n v="19"/>
    <s v="2009-11-29T15:47:30Z"/>
  </r>
  <r>
    <s v="floooh"/>
    <s v="Andre Weissflog"/>
    <m/>
    <s v="Berlin"/>
    <s v="floooh@gmail.com"/>
    <x v="1"/>
    <m/>
    <n v="1"/>
    <n v="148"/>
    <n v="2484"/>
    <n v="38"/>
    <s v="2012-05-02T15:38:15Z"/>
  </r>
  <r>
    <s v="cure53"/>
    <s v="Cure53"/>
    <s v="FINEÂ PENETRATIONÂ TESTS FORÂ FINEÂ WEBSITES"/>
    <s v="Berlin"/>
    <s v="mario@cure53.de"/>
    <x v="1"/>
    <s v="And there is fire where we walk."/>
    <n v="7"/>
    <n v="20"/>
    <n v="2474"/>
    <n v="0"/>
    <s v="2014-02-17T21:39:32Z"/>
  </r>
  <r>
    <s v="nisrulz"/>
    <s v="Nishant Srivastava"/>
    <s v="SCOUT24"/>
    <s v="Berlin, Germany"/>
    <m/>
    <x v="1"/>
    <s v="Sr. Android Engineer ðŸ‘¨ðŸ»â€ðŸ’»  "/>
    <n v="4"/>
    <n v="72"/>
    <n v="2442"/>
    <n v="2"/>
    <s v="2012-08-04T21:46:01Z"/>
  </r>
  <r>
    <s v="vietnh1009"/>
    <s v="Viet Nguyen"/>
    <s v="SPORTTOTAL.TV"/>
    <s v="Berlin, Germany"/>
    <m/>
    <x v="1"/>
    <s v="Senior AI engineer at Sporttotal"/>
    <n v="5"/>
    <n v="39"/>
    <n v="2425"/>
    <n v="0"/>
    <s v="2019-01-31T16:39:52Z"/>
  </r>
  <r>
    <s v="pepelsbey"/>
    <s v="Vadim Makeev"/>
    <s v="WEB-STANDARDS-RU"/>
    <s v="Berlin, Germany"/>
    <s v="hi@pepelsbey.dev"/>
    <x v="0"/>
    <s v="Frontend developer in love with the Web, browsers, bicycles, and podcasting. MDN technical writer, Google Developer Expert."/>
    <n v="17"/>
    <n v="46"/>
    <n v="2403"/>
    <n v="0"/>
    <s v="2009-07-15T16:06:21Z"/>
  </r>
  <r>
    <s v="nschloe"/>
    <s v="Nico SchlÃ¶mer"/>
    <s v="MONDAY TECH"/>
    <s v="Berlin, Germany"/>
    <s v="nico.schloemer@gmail.com"/>
    <x v="0"/>
    <s v="Mathematics, numerical analysis, scientific computing, Python._x000d__x000a__x000d__x000a_Always interested in new problems."/>
    <n v="10"/>
    <n v="94"/>
    <n v="2368"/>
    <n v="19"/>
    <s v="2010-01-13T18:43:03Z"/>
  </r>
  <r>
    <s v="spacejam"/>
    <s v="Tyler Neely"/>
    <s v="PINECONE"/>
    <s v="Berlin"/>
    <m/>
    <x v="0"/>
    <s v="reliable stateful systems at scale"/>
    <n v="5"/>
    <n v="190"/>
    <n v="2341"/>
    <n v="148"/>
    <s v="2012-03-06T03:52:39Z"/>
  </r>
  <r>
    <s v="ligi"/>
    <s v="ligi"/>
    <s v="ETHEREUM"/>
    <s v="Berlin, Earth, Milkiway"/>
    <s v="ligi@ligi.de"/>
    <x v="1"/>
    <m/>
    <n v="1"/>
    <n v="363"/>
    <n v="2254"/>
    <n v="794"/>
    <s v="2009-08-03T22:52:04Z"/>
  </r>
  <r>
    <s v="justadudewhohacks"/>
    <s v="Vincent MÃ¼hler"/>
    <m/>
    <s v="Berlin, Germany"/>
    <s v="muehler.v@gmail.com"/>
    <x v="1"/>
    <s v="Just hacking stuff."/>
    <n v="3"/>
    <n v="41"/>
    <n v="2226"/>
    <n v="23"/>
    <s v="2017-08-18T07:47:03Z"/>
  </r>
  <r>
    <s v="anaisbetts"/>
    <s v="Ani Betts"/>
    <s v="ANTHROPIC"/>
    <s v="Berlin"/>
    <s v="anais@anaisbetts.org"/>
    <x v="1"/>
    <s v="Margot Tenenbaum as software developer."/>
    <n v="5"/>
    <n v="325"/>
    <n v="2133"/>
    <n v="1"/>
    <s v="2008-02-28T02:26:12Z"/>
  </r>
  <r>
    <s v="typst"/>
    <s v="Typst"/>
    <m/>
    <s v="Berlin"/>
    <s v="hello@typst.app"/>
    <x v="1"/>
    <s v="Compose papers faster: Focus on your text and let Typst take care of layout and formatting."/>
    <n v="16"/>
    <n v="25"/>
    <n v="2114"/>
    <n v="0"/>
    <s v="2020-06-29T15:08:38Z"/>
  </r>
  <r>
    <s v="robb"/>
    <s v="Robb BÃ¶hnke"/>
    <s v="MOVINGPARTS-IO"/>
    <s v="Berlin"/>
    <m/>
    <x v="0"/>
    <s v="I put the UI in Ennui â€¢ currently SwiftUI @apple, formerly @movingparts-io,  @Google Research &amp; @Apple UIKit â€¢ today your love, tomorrow the world"/>
    <n v="24"/>
    <n v="57"/>
    <n v="2094"/>
    <n v="89"/>
    <s v="2010-02-28T11:23:17Z"/>
  </r>
  <r>
    <s v="schickling"/>
    <s v="Johannes Schickling"/>
    <m/>
    <s v="Berlin"/>
    <m/>
    <x v="1"/>
    <s v="ðŸš€ Founder of @prisma_x000d__x000a_ðŸ’¾ Application developer _x000d__x000a_ðŸ™Œ Cutting edge technology enthusiast"/>
    <n v="11"/>
    <n v="72"/>
    <n v="2053"/>
    <n v="68"/>
    <s v="2012-03-23T08:57:37Z"/>
  </r>
  <r>
    <s v="rkh"/>
    <s v="Konstantin Haase"/>
    <s v="GOOD BEANS"/>
    <s v="Berlin"/>
    <s v="github@rkh.im"/>
    <x v="1"/>
    <m/>
    <n v="1"/>
    <n v="201"/>
    <n v="2013"/>
    <n v="547"/>
    <s v="2008-10-22T18:56:03Z"/>
  </r>
  <r>
    <s v="withoutboats"/>
    <s v="srrrse"/>
    <m/>
    <s v="Berlin"/>
    <s v="saoirse@without.boats"/>
    <x v="0"/>
    <s v="In civilizations without boats, dreams dry up, espionage takes the place of adventure, and police take the place of pirates."/>
    <n v="20"/>
    <n v="71"/>
    <n v="1929"/>
    <n v="0"/>
    <s v="2014-10-08T00:46:37Z"/>
  </r>
  <r>
    <s v="honnibal"/>
    <s v="Matthew Honnibal"/>
    <s v="FOUNDER @EXPLOSION"/>
    <s v="Berlin"/>
    <s v="honnibal+gh@gmail.com"/>
    <x v="1"/>
    <s v="Computational linguist from Sydney and Berlin. Author of the spaCy NLP library."/>
    <n v="12"/>
    <n v="58"/>
    <n v="1895"/>
    <n v="6"/>
    <s v="2014-07-03T15:12:05Z"/>
  </r>
  <r>
    <s v="Roaa94"/>
    <s v="Roaa"/>
    <s v="WIDGETBOOK"/>
    <s v="Berlin, Germany"/>
    <s v="roaa94khaddam@gmail.com"/>
    <x v="0"/>
    <s v="Software Engineer @widgetbook _x000d__x000a_Google Developer Expert For Flutter ðŸ’™ &amp; Dart"/>
    <n v="11"/>
    <n v="30"/>
    <n v="1882"/>
    <n v="29"/>
    <s v="2019-05-07T00:15:12Z"/>
  </r>
  <r>
    <s v="janl"/>
    <s v="Jan Lehnardt"/>
    <s v="NEIGHBOURHOODIE SOFTWARE"/>
    <s v="Berlin, Germany"/>
    <s v="jan@apache.org"/>
    <x v="1"/>
    <s v="Makes @couchdb &amp; #offlinefirst. Made @jsconfeu @greenkeeperio @hoodiehq. CEO at @neighbourh00die. Dissatisfied with the status-quo."/>
    <n v="15"/>
    <n v="203"/>
    <n v="1881"/>
    <n v="9"/>
    <s v="2008-05-23T16:58:22Z"/>
  </r>
  <r>
    <s v="frozeman"/>
    <s v="Fabian Vogelsteller"/>
    <s v="LUKSO"/>
    <s v="Berlin, Germany"/>
    <s v="fabian@lukso.network"/>
    <x v="1"/>
    <s v="LUKSO Founder,_x000d__x000a_Ethereum developer, creator of the Mist browser, web3.js and ERC20. Author of a Meteor.js book and creator of the feindura - flat file CMS"/>
    <n v="25"/>
    <n v="117"/>
    <n v="1862"/>
    <n v="8"/>
    <s v="2010-03-29T15:09:24Z"/>
  </r>
  <r>
    <s v="z3tt"/>
    <s v="CÃ©dric Scherer"/>
    <s v="INDEPENDENT CONTRACTOR"/>
    <s v="Berlin"/>
    <m/>
    <x v="0"/>
    <s v="Consultant, developer, and instructor for data workflows, analysis, visualization &amp; communication."/>
    <n v="11"/>
    <n v="48"/>
    <n v="1804"/>
    <n v="148"/>
    <s v="2014-05-08T12:55:38Z"/>
  </r>
  <r>
    <s v="vas3k"/>
    <s v="Vasily Zubarev"/>
    <s v="ANYPROTO"/>
    <s v="Berlin, Germany"/>
    <s v="me@vas3k.ru"/>
    <x v="0"/>
    <s v="Â¯\_(ãƒ„)_/Â¯"/>
    <n v="1"/>
    <n v="28"/>
    <n v="1730"/>
    <n v="17"/>
    <s v="2010-01-04T20:30:30Z"/>
  </r>
  <r>
    <s v="leo"/>
    <s v="Leo Lamprecht"/>
    <s v="RONIN-CO"/>
    <s v="Berlin"/>
    <s v="leo@ronin.co"/>
    <x v="1"/>
    <m/>
    <n v="1"/>
    <n v="57"/>
    <n v="1706"/>
    <n v="69"/>
    <s v="2013-12-12T14:49:29Z"/>
  </r>
  <r>
    <s v="mttkay"/>
    <s v="Matthias KÃ¤ppler"/>
    <s v="GITLAB"/>
    <s v="Berlin, Germany"/>
    <m/>
    <x v="1"/>
    <m/>
    <n v="1"/>
    <n v="50"/>
    <n v="1704"/>
    <n v="38"/>
    <s v="2009-07-08T08:48:36Z"/>
  </r>
  <r>
    <s v="tomaka"/>
    <s v="Pierre Krieger"/>
    <s v="FREELANCE"/>
    <s v="Berlin, Germany"/>
    <s v="pierre.krieger1708@gmail.com"/>
    <x v="1"/>
    <m/>
    <n v="1"/>
    <n v="245"/>
    <n v="1695"/>
    <n v="2"/>
    <s v="2012-02-06T10:55:41Z"/>
  </r>
  <r>
    <s v="johnkil"/>
    <s v="Evgenii Shishkin"/>
    <s v="EX. AVIASALES"/>
    <s v="Berlin, Germany"/>
    <s v="shishkin.e3@gmail.com"/>
    <x v="0"/>
    <s v="Senior Android Developer"/>
    <n v="3"/>
    <n v="40"/>
    <n v="1654"/>
    <n v="67"/>
    <s v="2011-07-19T18:50:39Z"/>
  </r>
  <r>
    <s v="mxschmitt"/>
    <s v="Max Schmitt"/>
    <s v="MICROSOFT"/>
    <s v="Germany, Berlin"/>
    <s v="max@schmitt.mx"/>
    <x v="1"/>
    <s v="Open Source enthusiast, security researcher and full stack web developer."/>
    <n v="10"/>
    <n v="207"/>
    <n v="1645"/>
    <n v="28"/>
    <s v="2016-03-21T13:44:27Z"/>
  </r>
  <r>
    <s v="smakosh"/>
    <s v="Ismail Ghallou "/>
    <m/>
    <s v="Berlin, Germany"/>
    <s v="ismai23l@hotmail.com"/>
    <x v="0"/>
    <s v="Senior frontend developer"/>
    <n v="3"/>
    <n v="132"/>
    <n v="1571"/>
    <n v="168"/>
    <s v="2016-06-22T05:39:44Z"/>
  </r>
  <r>
    <s v="poettering"/>
    <s v="Lennart Poettering"/>
    <m/>
    <s v="Berlin, Germany"/>
    <s v="lennart@poettering.net"/>
    <x v="1"/>
    <m/>
    <n v="1"/>
    <n v="17"/>
    <n v="1550"/>
    <n v="1"/>
    <s v="2012-08-10T16:01:29Z"/>
  </r>
  <r>
    <s v="hynek"/>
    <s v="Hynek Schlawack"/>
    <s v="VARIOMEDIA AG"/>
    <s v="Berlin"/>
    <s v="hs@ox.cx"/>
    <x v="1"/>
    <m/>
    <n v="1"/>
    <n v="32"/>
    <n v="1549"/>
    <n v="6"/>
    <s v="2008-12-18T12:10:53Z"/>
  </r>
  <r>
    <s v="TejasQ"/>
    <s v="Tejas Kumar"/>
    <m/>
    <s v="Berlin, DE"/>
    <s v="tejas@tejas.qa"/>
    <x v="0"/>
    <s v="I write code and love life."/>
    <n v="6"/>
    <n v="136"/>
    <n v="1518"/>
    <n v="296"/>
    <s v="2014-11-25T13:12:53Z"/>
  </r>
  <r>
    <s v="AmruthPillai"/>
    <s v="Amruth Pillai"/>
    <s v="ELARADIGITAL"/>
    <s v="Berlin, Germany"/>
    <s v="im.amruth@gmail.com"/>
    <x v="1"/>
    <s v="Juggling work, life and OSS ðŸ¤¹"/>
    <n v="6"/>
    <n v="179"/>
    <n v="1498"/>
    <n v="4"/>
    <s v="2011-10-18T02:10:26Z"/>
  </r>
  <r>
    <s v="chriseth"/>
    <m/>
    <m/>
    <s v="Berlin"/>
    <m/>
    <x v="1"/>
    <m/>
    <n v="1"/>
    <n v="87"/>
    <n v="1455"/>
    <n v="0"/>
    <s v="2014-10-08T08:53:36Z"/>
  </r>
  <r>
    <s v="roji"/>
    <s v="Shay Rojansky"/>
    <s v="MICROSOFT"/>
    <s v="Berlin, Germany"/>
    <s v="roji@roji.org"/>
    <x v="1"/>
    <s v="Principal software engineer working on .NET data access and perf, member of the Entity Framework team at Microsoft. Lead dev of Npgsql, the PostgreSQL provider."/>
    <n v="25"/>
    <n v="81"/>
    <n v="1393"/>
    <n v="6"/>
    <s v="2012-06-18T13:23:09Z"/>
  </r>
  <r>
    <s v="justinmk"/>
    <s v="Justin M. Keyes"/>
    <m/>
    <s v="Berlin"/>
    <m/>
    <x v="0"/>
    <s v="&quot;People are afraid to merge.&quot; _x000d__x000a_- Less Than Zero"/>
    <n v="9"/>
    <n v="34"/>
    <n v="1371"/>
    <n v="11"/>
    <s v="2012-01-20T17:37:03Z"/>
  </r>
  <r>
    <s v="brianamarie"/>
    <s v="Briana Swift"/>
    <m/>
    <s v="Berlin"/>
    <m/>
    <x v="0"/>
    <m/>
    <n v="1"/>
    <n v="139"/>
    <n v="1360"/>
    <n v="56"/>
    <s v="2014-11-22T23:24:43Z"/>
  </r>
  <r>
    <s v="datitran"/>
    <s v="Dat Tran"/>
    <s v="BEAMS SAFETY AI"/>
    <s v="Berlin"/>
    <m/>
    <x v="1"/>
    <s v="VP of AI/ML at Beams Safety AI ðŸ¤– | Advisor. Ex-CTO/Co-Founder @Priceloop. Ex-Head of AI @AxelSpringer, Ex-Pivotal."/>
    <n v="17"/>
    <n v="61"/>
    <n v="1345"/>
    <n v="72"/>
    <s v="2013-03-14T17:02:54Z"/>
  </r>
  <r>
    <s v="arash-hacker"/>
    <m/>
    <m/>
    <s v="Berlin,Berlin, Germany"/>
    <s v="Arshiamidos@gmail.com"/>
    <x v="0"/>
    <s v="Principal Software Engineer | Hacker"/>
    <n v="5"/>
    <n v="76"/>
    <n v="1343"/>
    <n v="64"/>
    <s v="2014-01-20T15:19:23Z"/>
  </r>
  <r>
    <s v="alireza0"/>
    <s v="Alireza Ahmadi"/>
    <m/>
    <s v="Berlin, Germany"/>
    <s v="alireza7@gmail.com"/>
    <x v="0"/>
    <m/>
    <n v="1"/>
    <n v="11"/>
    <n v="1341"/>
    <n v="5"/>
    <s v="2015-05-23T12:47:02Z"/>
  </r>
  <r>
    <s v="maciejwalkowiak"/>
    <s v="Maciej Walkowiak"/>
    <m/>
    <s v="Berlin, Germany"/>
    <s v="walkowiak.maciej@yahoo.com"/>
    <x v="1"/>
    <s v="Freelance Architect &amp; Developer_x000d__x000a_ðŸƒSpring projects Contributor_x000d__x000a_Java âˆ™ Spring âˆ™ AWS âˆ™"/>
    <n v="11"/>
    <n v="146"/>
    <n v="1279"/>
    <n v="60"/>
    <s v="2012-01-20T12:33:25Z"/>
  </r>
  <r>
    <s v="eps1lon"/>
    <s v="Sebastian &quot;Sebbie&quot; Silbermann"/>
    <m/>
    <s v="Berlin, Germany"/>
    <s v="silbermann.sebastian@gmail.com"/>
    <x v="1"/>
    <s v="I maintain stuff."/>
    <n v="3"/>
    <n v="337"/>
    <n v="1265"/>
    <n v="39"/>
    <s v="2015-05-07T08:08:10Z"/>
  </r>
  <r>
    <s v="MohamedMesto"/>
    <s v="Mohamed Mesto"/>
    <m/>
    <s v="Berlin"/>
    <m/>
    <x v="1"/>
    <s v="Software Engineer | Front-End Developer."/>
    <n v="5"/>
    <n v="103"/>
    <n v="1257"/>
    <n v="2950"/>
    <s v="2018-10-21T13:46:26Z"/>
  </r>
  <r>
    <s v="solegalli"/>
    <s v="Soledad Galli"/>
    <s v="TRAIN IN DATA"/>
    <s v="Berlin, Germany"/>
    <m/>
    <x v="1"/>
    <s v="ðŸ‘¨â€ðŸ’» Data scientist, best-selling machine learning instructor, and book author. ðŸ“š Developer of Feature-engine. ðŸš€"/>
    <n v="15"/>
    <n v="21"/>
    <n v="1243"/>
    <n v="9"/>
    <s v="2015-04-05T10:25:19Z"/>
  </r>
  <r>
    <s v="mugli"/>
    <s v="Mehdi Hasan Khan"/>
    <s v="CONTENTFUL"/>
    <s v="Berlin, Germany"/>
    <s v="mhasan@omicronlab.com"/>
    <x v="0"/>
    <s v="Infrastructure Engineer _x000d__x000a_@contentful. Node.js and Go dev."/>
    <n v="7"/>
    <n v="37"/>
    <n v="1214"/>
    <n v="586"/>
    <s v="2012-08-29T08:14:13Z"/>
  </r>
  <r>
    <s v="pedromassango"/>
    <s v="Pedro Massango"/>
    <s v="MONTA-APP"/>
    <s v="Berlin"/>
    <m/>
    <x v="1"/>
    <s v="Software Engineer &amp; Flutter GDE"/>
    <n v="5"/>
    <n v="207"/>
    <n v="1211"/>
    <n v="127"/>
    <s v="2017-11-01T18:50:33Z"/>
  </r>
  <r>
    <s v="Byron"/>
    <s v="Sebastian Thiel"/>
    <m/>
    <s v="Berlin"/>
    <s v="sebastian.thiel@icloud.com"/>
    <x v="1"/>
    <m/>
    <n v="1"/>
    <n v="198"/>
    <n v="1210"/>
    <n v="100"/>
    <s v="2009-03-15T13:15:06Z"/>
  </r>
  <r>
    <s v="aFarkas"/>
    <s v="Alexander Farkas"/>
    <m/>
    <s v="Berlin"/>
    <s v="alex@boffinhouse.com"/>
    <x v="1"/>
    <m/>
    <n v="1"/>
    <n v="65"/>
    <n v="1198"/>
    <n v="32"/>
    <s v="2010-01-23T12:19:27Z"/>
  </r>
  <r>
    <s v="mr-mig"/>
    <s v="Alexey Migutsky"/>
    <s v="MICROSOFT / GITHUB"/>
    <s v="Berlin, Germany"/>
    <s v="alexey.migutsky@gmail.com"/>
    <x v="1"/>
    <s v="Me ðŸ”¨ codez"/>
    <n v="3"/>
    <n v="47"/>
    <n v="1181"/>
    <n v="18"/>
    <s v="2011-09-19T15:56:47Z"/>
  </r>
  <r>
    <s v="gka"/>
    <s v="Gregor Aisch"/>
    <s v="ZEITONLINE"/>
    <s v="Berlin"/>
    <m/>
    <x v="1"/>
    <s v="Senior visual data journalist @ZeitOnline, Co-founder @Datawrapper, proud @nytgraphics alumni. most of my old repos live at @vis4 now"/>
    <n v="19"/>
    <n v="38"/>
    <n v="1171"/>
    <n v="78"/>
    <s v="2011-02-14T15:48:07Z"/>
  </r>
  <r>
    <s v="cytopia"/>
    <s v="cytopia"/>
    <m/>
    <s v="Berlin, Germany"/>
    <m/>
    <x v="1"/>
    <s v="DevOps Engineer"/>
    <n v="2"/>
    <n v="114"/>
    <n v="1167"/>
    <n v="37"/>
    <s v="2015-05-20T18:47:38Z"/>
  </r>
  <r>
    <s v="explosion"/>
    <s v="Explosion"/>
    <m/>
    <s v="Berlin, Germany"/>
    <s v="contact@explosion.ai"/>
    <x v="1"/>
    <s v="Software company specializing in developer tools and tailored solutions for AI and Natural Language Processing"/>
    <n v="15"/>
    <n v="76"/>
    <n v="1114"/>
    <n v="0"/>
    <s v="2016-06-18T09:18:01Z"/>
  </r>
  <r>
    <s v="omz"/>
    <s v="Ole Zorn"/>
    <s v="OMZ:SOFTWARE"/>
    <s v="Berlin, Germany"/>
    <m/>
    <x v="1"/>
    <m/>
    <n v="1"/>
    <n v="13"/>
    <n v="1099"/>
    <n v="8"/>
    <s v="2009-05-08T16:14:34Z"/>
  </r>
  <r>
    <s v="sujinleeme"/>
    <s v="Sujin Lee"/>
    <s v="ADJUST"/>
    <s v="Berlin, Germany"/>
    <m/>
    <x v="0"/>
    <s v="ðŸ§‘â€ðŸŽ¨ Painting at @adjust "/>
    <n v="4"/>
    <n v="54"/>
    <n v="1086"/>
    <n v="407"/>
    <s v="2013-11-22T15:36:19Z"/>
  </r>
  <r>
    <s v="tgalal"/>
    <s v="Tarek"/>
    <m/>
    <s v="Berlin, Germany"/>
    <s v="tare2.galal@gmail.com"/>
    <x v="0"/>
    <m/>
    <n v="1"/>
    <n v="40"/>
    <n v="1081"/>
    <n v="87"/>
    <s v="2011-07-05T10:29:14Z"/>
  </r>
  <r>
    <s v="stefanjudis"/>
    <s v="Stefan Judis"/>
    <m/>
    <s v="Berlin"/>
    <m/>
    <x v="1"/>
    <s v="frontend dev | doing open source stuff | collecting stuff at perf-tooling.today &amp; tiny-helpers.dev"/>
    <n v="14"/>
    <n v="200"/>
    <n v="1076"/>
    <n v="242"/>
    <s v="2011-08-05T21:14:11Z"/>
  </r>
  <r>
    <s v="cs-MohamedAyman"/>
    <s v="Ayman M."/>
    <m/>
    <s v="Berlin, Berlin, Germany"/>
    <m/>
    <x v="0"/>
    <s v="Machine Learning Mentor and Advisor | Research and Development Software Engineer"/>
    <n v="11"/>
    <n v="13"/>
    <n v="1075"/>
    <n v="0"/>
    <s v="2020-01-22T13:06:45Z"/>
  </r>
  <r>
    <s v="dmonad"/>
    <s v=" Kevin Jahns"/>
    <s v="INDEPENDENT OSS DEVELOPER"/>
    <s v="Berlin, Germany"/>
    <s v="kevin.jahns@protonmail.com"/>
    <x v="0"/>
    <s v="Working to make the web more collaborative @yjs @y-crdt _x000d__x000a__x000d__x000a__x000d__x000a__x000d__x000a_"/>
    <n v="10"/>
    <n v="42"/>
    <n v="1066"/>
    <n v="32"/>
    <s v="2013-09-26T23:26:43Z"/>
  </r>
  <r>
    <s v="ojack"/>
    <s v="Olivia Jack"/>
    <m/>
    <s v=" Berlin / BogotÃ¡"/>
    <m/>
    <x v="1"/>
    <m/>
    <n v="1"/>
    <n v="113"/>
    <n v="1056"/>
    <n v="79"/>
    <s v="2013-07-01T17:58:48Z"/>
  </r>
  <r>
    <s v="beorn7"/>
    <s v="BjÃ¶rn Rabenstein"/>
    <s v="GRAFANA"/>
    <s v="Berlin"/>
    <s v="beorn@grafana.com"/>
    <x v="1"/>
    <s v="@prometheus developer working at @grafana. Alumnus of @soundcloud and @google._x000d__x000a__x000d__x000a_Hope is not a strategy â€“ but it springs eternal."/>
    <n v="19"/>
    <n v="33"/>
    <n v="1053"/>
    <n v="410"/>
    <s v="2013-10-04T08:42:18Z"/>
  </r>
  <r>
    <s v="camunda"/>
    <s v="Camunda"/>
    <m/>
    <s v="Berlin"/>
    <s v="info@camunda.com"/>
    <x v="1"/>
    <m/>
    <n v="1"/>
    <n v="153"/>
    <n v="1048"/>
    <n v="0"/>
    <s v="2012-09-28T08:18:19Z"/>
  </r>
  <r>
    <s v="olilarkin"/>
    <s v="Oli Larkin"/>
    <s v="ABLETON, OLI LARKIN PLUG-INS"/>
    <s v="Berlin"/>
    <m/>
    <x v="0"/>
    <s v="Audio Plug-ins, C++, @iPlug2, @webaudiomodules @SpatialAudioKit"/>
    <n v="6"/>
    <n v="109"/>
    <n v="1036"/>
    <n v="400"/>
    <s v="2011-03-07T14:24:38Z"/>
  </r>
  <r>
    <s v="deliveryhero"/>
    <s v="Delivery Hero SE"/>
    <m/>
    <s v="Berlin"/>
    <m/>
    <x v="1"/>
    <m/>
    <n v="1"/>
    <n v="86"/>
    <n v="1028"/>
    <n v="0"/>
    <s v="2014-04-08T13:09:24Z"/>
  </r>
  <r>
    <s v="berndruecker"/>
    <s v="Bernd Ruecker"/>
    <s v="CAMUNDA"/>
    <s v="Berlin"/>
    <s v="bernd.ruecker@camunda.com"/>
    <x v="1"/>
    <s v="Process automation enthusiast. Co-founder and chief technologist of http://camunda.com . Blog, articles and talks at https://berndruecker.io"/>
    <n v="16"/>
    <n v="81"/>
    <n v="1023"/>
    <n v="1"/>
    <s v="2011-11-24T08:32:44Z"/>
  </r>
  <r>
    <s v="xct"/>
    <s v="xct"/>
    <m/>
    <s v="Berlin | Tokyo"/>
    <s v="xct@vulndev.io"/>
    <x v="0"/>
    <s v="Hobby âš‘ Collector"/>
    <n v="3"/>
    <n v="37"/>
    <n v="1021"/>
    <n v="199"/>
    <s v="2014-10-18T05:58:57Z"/>
  </r>
  <r>
    <s v="rxrbln"/>
    <s v="RenÃ© Rebe"/>
    <s v="EXACTCODE GMBH"/>
    <s v="Berlin"/>
    <s v="rene@rebe.name"/>
    <x v="1"/>
    <s v="20+ years OpenSource: T2 Linux, ExactImage and likely contributed to most major projects out there."/>
    <n v="15"/>
    <n v="19"/>
    <n v="1019"/>
    <n v="6"/>
    <s v="2016-04-17T17:27:20Z"/>
  </r>
  <r>
    <s v="davidchambers"/>
    <s v="David Chambers"/>
    <m/>
    <s v="Berlin"/>
    <s v="dc@davidchambers.me"/>
    <x v="1"/>
    <s v="Functional programming enthusiast. Creator of Sanctuary, our refuge from unsafe JavaScript."/>
    <n v="11"/>
    <n v="106"/>
    <n v="1007"/>
    <n v="76"/>
    <s v="2010-02-25T03:13:55Z"/>
  </r>
  <r>
    <s v="adamwiggins"/>
    <s v="Adam Wiggins"/>
    <s v="MUSE"/>
    <s v="Berlin"/>
    <s v="a@adamwiggins.com"/>
    <x v="1"/>
    <s v="Digital toolmaker"/>
    <n v="2"/>
    <n v="99"/>
    <n v="1000"/>
    <n v="16"/>
    <s v="2008-02-10T19:58:31Z"/>
  </r>
  <r>
    <s v="naderman"/>
    <s v="Nils Adermann"/>
    <s v="PACKAGIST"/>
    <s v="Berlin, Germany"/>
    <m/>
    <x v="1"/>
    <s v="Co-Founder of @packagist / https://packagist.com and Co-Creator of @composer - he/him_x000d__x000a__x000d__x000a_"/>
    <n v="11"/>
    <n v="91"/>
    <n v="999"/>
    <n v="43"/>
    <s v="2009-11-18T13:24:59Z"/>
  </r>
  <r>
    <s v="fjl"/>
    <s v="Felix Lange"/>
    <s v="ETHEREUM"/>
    <s v="Berlin, Germany"/>
    <s v="fjl@ethereum.org"/>
    <x v="1"/>
    <s v="Chief Stacktrace Designer"/>
    <n v="3"/>
    <n v="112"/>
    <n v="993"/>
    <n v="33"/>
    <s v="2008-04-12T10:37:15Z"/>
  </r>
  <r>
    <s v="vitormalencar"/>
    <s v="Vitor Alencar"/>
    <s v="TAXFIX"/>
    <s v="Berlin Germany "/>
    <s v="vitor.maia.alencar@gmail.com"/>
    <x v="0"/>
    <s v="âš¡ï¸ Web developer &amp; speaker_x000d__x000a_ðŸ”¥ focused on new and scalable technologies_x000d__x000a_ðŸ¦„ who loves sharing knowledge"/>
    <n v="15"/>
    <n v="47"/>
    <n v="984"/>
    <n v="236"/>
    <s v="2014-05-30T00:00:07Z"/>
  </r>
  <r>
    <s v="moklick"/>
    <s v="Moritz Klack"/>
    <s v="XYFLOW"/>
    <s v="Berlin"/>
    <s v="info@moritzklack.com"/>
    <x v="1"/>
    <s v="Working on React Flow and Svelte Flow @xyflow "/>
    <n v="8"/>
    <n v="139"/>
    <n v="978"/>
    <n v="10"/>
    <s v="2012-11-21T22:06:05Z"/>
  </r>
  <r>
    <s v="rpolonsky"/>
    <s v="Roman V Polonsky"/>
    <m/>
    <s v="Berlin"/>
    <m/>
    <x v="0"/>
    <s v="Senior Front End Software Engineer"/>
    <n v="5"/>
    <n v="5"/>
    <n v="957"/>
    <n v="17"/>
    <s v="2013-01-21T07:07:26Z"/>
  </r>
  <r>
    <s v="kashif"/>
    <s v="Kashif Rasul"/>
    <m/>
    <s v="Berlin, Germany"/>
    <s v="kashif.rasul@gmail.com"/>
    <x v="1"/>
    <s v="Principal Research Scientist working on Deep Learning, Time Series Forecasting, Reinforcement Learning and HPC."/>
    <n v="14"/>
    <n v="220"/>
    <n v="942"/>
    <n v="122"/>
    <s v="2008-04-21T20:18:07Z"/>
  </r>
  <r>
    <s v="LilithWittmann"/>
    <s v="Lilith Wittmann"/>
    <m/>
    <s v="Berlin, Germany"/>
    <m/>
    <x v="0"/>
    <s v="freelance developer &amp; consultant_x000d__x000a_"/>
    <n v="4"/>
    <n v="46"/>
    <n v="918"/>
    <n v="54"/>
    <s v="2011-07-02T23:39:24Z"/>
  </r>
  <r>
    <s v="jamesmunns"/>
    <s v="James Munns"/>
    <m/>
    <s v="Berlin, DE"/>
    <s v="james@onevariable.com"/>
    <x v="1"/>
    <s v="Bringing Rust to new places, big and small. Available for consulting @OneVariable!_x000d__x000a__x000d__x000a_Resources Team @ Rust Embedded Working Group"/>
    <n v="18"/>
    <n v="314"/>
    <n v="915"/>
    <n v="21"/>
    <s v="2012-08-05T10:39:01Z"/>
  </r>
  <r>
    <s v="pudo"/>
    <s v="Friedrich Lindenberg"/>
    <s v="OPENSANCTIONS"/>
    <s v="Berlin"/>
    <s v="friedrich.lindenberg@gmail.com"/>
    <x v="0"/>
    <s v="Data and software engineer, investigative support. "/>
    <n v="6"/>
    <n v="49"/>
    <n v="915"/>
    <n v="205"/>
    <s v="2008-12-19T17:04:00Z"/>
  </r>
  <r>
    <s v="javierbyte"/>
    <s v="Javier BÃ³rquez"/>
    <s v="VERCEL"/>
    <s v="Berlin, Germany"/>
    <s v="hi@javier.xyz"/>
    <x v="1"/>
    <m/>
    <n v="1"/>
    <n v="53"/>
    <n v="910"/>
    <n v="257"/>
    <s v="2012-07-20T04:51:56Z"/>
  </r>
  <r>
    <s v="meh"/>
    <s v="meh."/>
    <m/>
    <s v="Berlin"/>
    <s v="meh@schizofreni.co"/>
    <x v="0"/>
    <s v="Never compromise, not even in the face of Armageddon."/>
    <n v="9"/>
    <n v="370"/>
    <n v="892"/>
    <n v="18"/>
    <s v="2008-12-13T11:44:43Z"/>
  </r>
  <r>
    <s v="rednafi"/>
    <s v="Redowan Delowar"/>
    <s v="WOLT"/>
    <s v="Berlin"/>
    <s v="redowan.nafi@gmail.com"/>
    <x v="1"/>
    <s v="Roving amateur with a flair for words and wires | SWE @woltapp | ðŸ‡©ðŸ‡ª ðŸ‡ºðŸ‡¸ ðŸ‡§ðŸ‡©_x000d__x000a_"/>
    <n v="16"/>
    <n v="68"/>
    <n v="891"/>
    <n v="44"/>
    <s v="2017-07-09T19:48:26Z"/>
  </r>
  <r>
    <s v="visenger"/>
    <s v="Dr. Larysa Visengeriyeva"/>
    <m/>
    <s v="Berlin, Germany "/>
    <m/>
    <x v="1"/>
    <s v="_x000d__x000a_    I am the queen of ml-ops.org _x000d__x000a_Working at the intersection of software engineering and machine learning. PhD in Augmented Data Quality._x000d__x000a_"/>
    <n v="22"/>
    <n v="79"/>
    <n v="886"/>
    <n v="3"/>
    <s v="2012-07-20T22:37:19Z"/>
  </r>
  <r>
    <s v="brancz"/>
    <s v="Frederic Branczyk"/>
    <s v="POLARSIGNALS"/>
    <s v="Berlin"/>
    <s v="fbranczyk@gmail.com"/>
    <x v="1"/>
    <m/>
    <n v="1"/>
    <n v="163"/>
    <n v="879"/>
    <n v="6"/>
    <s v="2013-05-28T07:46:00Z"/>
  </r>
  <r>
    <s v="zaraco"/>
    <s v="Zahra Teymouri"/>
    <s v="VECTRONIC AEROSPACE"/>
    <s v="Berlin, Germany"/>
    <s v="zahrateymouri90@gmail.com"/>
    <x v="1"/>
    <s v="Software Developer"/>
    <n v="2"/>
    <n v="30"/>
    <n v="878"/>
    <n v="909"/>
    <s v="2020-03-08T12:07:10Z"/>
  </r>
  <r>
    <s v="spacekookie"/>
    <s v="Katharina Fey"/>
    <m/>
    <s v="Berlin"/>
    <s v="kookie@spacekookie.de"/>
    <x v="0"/>
    <s v="Mediocre programmer extraordinaire. Compilers are your friend ðŸ”¹ she/them  "/>
    <n v="9"/>
    <n v="163"/>
    <n v="871"/>
    <n v="43"/>
    <s v="2014-05-22T14:00:50Z"/>
  </r>
  <r>
    <s v="ptaoussanis"/>
    <s v="Peter Taoussanis"/>
    <s v="TAOENSSO"/>
    <s v="Berlin, Chiang Mai, Johannesburg"/>
    <s v="peter@taoensso.com"/>
    <x v="1"/>
    <s v="Clojure/Script open source llama"/>
    <n v="4"/>
    <n v="52"/>
    <n v="866"/>
    <n v="37"/>
    <s v="2009-11-30T18:41:46Z"/>
  </r>
  <r>
    <s v="deepset-ai"/>
    <s v="deepset"/>
    <m/>
    <s v="Berlin, Germany"/>
    <s v="hello@deepset.ai"/>
    <x v="1"/>
    <s v="Building enterprise search systems powered by latest NLP &amp; open-source."/>
    <n v="10"/>
    <n v="61"/>
    <n v="863"/>
    <n v="0"/>
    <s v="2019-06-14T14:23:33Z"/>
  </r>
  <r>
    <s v="traviscibot"/>
    <s v="Travis CI"/>
    <s v="TRAVIS CI"/>
    <s v="Berlin, Germany"/>
    <m/>
    <x v="1"/>
    <s v="Deployment Bot (from Travis CI)"/>
    <n v="5"/>
    <n v="0"/>
    <n v="863"/>
    <n v="0"/>
    <s v="2017-10-26T07:53:22Z"/>
  </r>
  <r>
    <s v="mlent"/>
    <s v="Monica Lent"/>
    <s v="AFFILIMATEIO"/>
    <s v="Berlin, Germany"/>
    <m/>
    <x v="1"/>
    <m/>
    <n v="1"/>
    <n v="42"/>
    <n v="845"/>
    <n v="30"/>
    <s v="2012-05-23T22:20:19Z"/>
  </r>
  <r>
    <s v="emad-elsaid"/>
    <s v="Emad Elsaid"/>
    <s v="HELLOFRESH"/>
    <s v="Berlin, Germany"/>
    <m/>
    <x v="0"/>
    <s v="A software engineer"/>
    <n v="3"/>
    <n v="91"/>
    <n v="844"/>
    <n v="30"/>
    <s v="2009-02-13T23:45:51Z"/>
  </r>
  <r>
    <s v="paolorotolo"/>
    <s v="Paolo Rotolo"/>
    <s v="BLINKIST"/>
    <s v="Berlin"/>
    <m/>
    <x v="1"/>
    <s v="Android Developer @blinkist._x000d__x000a__x000d__x000a_Co-lead GDG Bari. Open Source, Kotlin and Community fan! Maintainer of @AppIntro"/>
    <n v="14"/>
    <n v="91"/>
    <n v="839"/>
    <n v="118"/>
    <s v="2013-10-06T16:01:26Z"/>
  </r>
  <r>
    <s v="panique"/>
    <s v="Chris"/>
    <m/>
    <s v="Berlin (Germany)"/>
    <m/>
    <x v="0"/>
    <s v="5.000+ â˜… on GitHub. PHP dev, 13+ years of experience. Hire me ;)"/>
    <n v="13"/>
    <n v="26"/>
    <n v="835"/>
    <n v="33"/>
    <s v="2009-11-21T12:15:55Z"/>
  </r>
  <r>
    <s v="kof"/>
    <s v="Oleg Isonen"/>
    <s v="WEBSTUDIO-IS"/>
    <s v="Germany, Berlin"/>
    <s v="oleg008@gmail.com"/>
    <x v="1"/>
    <m/>
    <n v="1"/>
    <n v="113"/>
    <n v="815"/>
    <n v="28"/>
    <s v="2009-02-08T18:49:11Z"/>
  </r>
  <r>
    <s v="falkTX"/>
    <s v="Filipe Coelho"/>
    <m/>
    <s v="Berlin, Germany"/>
    <m/>
    <x v="0"/>
    <s v="I'm a self-taught software developer, with personal interest in C++ and Python._x000d__x000a_Easily motivated by a good challenge. Open-Source enthusiast."/>
    <n v="19"/>
    <n v="119"/>
    <n v="814"/>
    <n v="3"/>
    <s v="2012-01-16T20:28:18Z"/>
  </r>
  <r>
    <s v="pepicrft"/>
    <s v="Pedro PiÃ±era BuendÃ­a"/>
    <s v="TUIST"/>
    <s v="Berlin"/>
    <m/>
    <x v="0"/>
    <s v="Builder and software-crafter"/>
    <n v="3"/>
    <n v="37"/>
    <n v="810"/>
    <n v="857"/>
    <s v="2011-03-11T07:58:23Z"/>
  </r>
  <r>
    <s v="hramezani"/>
    <s v="Hasan Ramezani"/>
    <s v="PYDANTIC"/>
    <s v="Berlin"/>
    <s v="hasan.r67@gmail.com"/>
    <x v="1"/>
    <s v="Python Backend Developer. Member of Django Triage&amp;Review team. Contributor of @django , @urllib3 , @pydantic , ..._x000d__x000a_Maintainer of some @jazzband packages"/>
    <n v="21"/>
    <n v="92"/>
    <n v="798"/>
    <n v="51"/>
    <s v="2012-12-25T18:04:47Z"/>
  </r>
  <r>
    <s v="cebe"/>
    <s v="Carsten Brandt"/>
    <s v="YIISOFT, @CEBE-CC"/>
    <s v="Berlin / Alfeld, Germany"/>
    <s v="mail@cebe.cc"/>
    <x v="0"/>
    <s v="PGP: 1DEEEED0"/>
    <n v="2"/>
    <n v="258"/>
    <n v="788"/>
    <n v="368"/>
    <s v="2010-01-26T00:15:13Z"/>
  </r>
  <r>
    <s v="PurpleBooth"/>
    <s v="Billie Thompson"/>
    <s v="ARMAKUNI"/>
    <s v="Berlin"/>
    <m/>
    <x v="1"/>
    <s v="I am quite tall and have curly hair."/>
    <n v="8"/>
    <n v="186"/>
    <n v="782"/>
    <n v="54"/>
    <s v="2009-09-30T16:27:21Z"/>
  </r>
  <r>
    <s v="bergie"/>
    <s v="Henri Bergius"/>
    <m/>
    <s v="Berlin, Germany"/>
    <s v="henri.bergius@iki.fi"/>
    <x v="0"/>
    <s v="Sailor, developer, occasional adventurer"/>
    <n v="4"/>
    <n v="129"/>
    <n v="776"/>
    <n v="6"/>
    <s v="2008-03-18T07:23:03Z"/>
  </r>
  <r>
    <s v="bkchr"/>
    <s v="Bastian KÃ¶cher"/>
    <s v="PARITYTECH"/>
    <s v="Berlin"/>
    <m/>
    <x v="1"/>
    <s v="Ser Developer @paritytech using @rust-lang. _x000d__x000a__x000d__x000a_13fvj4bNfrTo8oW6U8525soRp6vhjAFLum6XBdtqq9yP22E7"/>
    <n v="6"/>
    <n v="132"/>
    <n v="775"/>
    <n v="10"/>
    <s v="2013-10-18T12:11:15Z"/>
  </r>
  <r>
    <s v="rahmonov"/>
    <s v="Jakhongir"/>
    <s v="AMAZON WEB SERVICES"/>
    <s v="Berlin, Germany"/>
    <s v="jrahmonov2@gmail.com"/>
    <x v="1"/>
    <s v="Software Engineer"/>
    <n v="2"/>
    <n v="40"/>
    <n v="775"/>
    <n v="11"/>
    <s v="2014-10-05T15:48:33Z"/>
  </r>
  <r>
    <s v="derhuerst"/>
    <s v="Jannis R"/>
    <s v="FREELANCER"/>
    <s v="Berlin"/>
    <s v="mail@jannisr.de"/>
    <x v="1"/>
    <s v="By writing open-source software, I try to make urban infrastructure more accessible &amp; convenient."/>
    <n v="14"/>
    <n v="582"/>
    <n v="767"/>
    <n v="94"/>
    <s v="2013-07-23T11:37:44Z"/>
  </r>
  <r>
    <s v="svenfuchs"/>
    <s v="Sven Fuchs"/>
    <s v="FORMERLY TRAVIS CI"/>
    <s v="Germany/Berlin"/>
    <s v="me@svenfuchs.com"/>
    <x v="1"/>
    <m/>
    <n v="1"/>
    <n v="145"/>
    <n v="766"/>
    <n v="78"/>
    <s v="2008-03-04T20:38:09Z"/>
  </r>
  <r>
    <s v="nikolasburk"/>
    <s v="Nikolas"/>
    <s v="PRISMA"/>
    <s v="Berlin"/>
    <s v="nikolas.burk@gmail.com"/>
    <x v="0"/>
    <s v="Learning and teaching at @prisma"/>
    <n v="5"/>
    <n v="202"/>
    <n v="765"/>
    <n v="0"/>
    <s v="2013-04-04T11:30:48Z"/>
  </r>
  <r>
    <s v="areyou1or0"/>
    <s v="Busra Demir"/>
    <s v="NEONDATABASE"/>
    <s v="Berlin, Germany"/>
    <m/>
    <x v="0"/>
    <s v="Hacker. "/>
    <n v="1"/>
    <n v="6"/>
    <n v="763"/>
    <n v="9"/>
    <s v="2017-03-13T14:04:10Z"/>
  </r>
  <r>
    <s v="Phantas0s"/>
    <s v="Matthieu Cneude"/>
    <m/>
    <s v="Berlin"/>
    <m/>
    <x v="1"/>
    <s v="Coding for 20 years._x000d__x000a_Love the Linux shell and CLIs."/>
    <n v="9"/>
    <n v="97"/>
    <n v="758"/>
    <n v="68"/>
    <s v="2012-12-30T21:12:00Z"/>
  </r>
  <r>
    <s v="tasomaniac"/>
    <s v="Said Tahsin Dane"/>
    <s v="DELIVERYHERO"/>
    <s v="Berlin"/>
    <s v="tasomaniac@gmail.com"/>
    <x v="1"/>
    <s v="Engineering Manager @deliveryhero_x000d__x000a_"/>
    <n v="3"/>
    <n v="111"/>
    <n v="758"/>
    <n v="179"/>
    <s v="2011-05-02T12:06:25Z"/>
  </r>
  <r>
    <s v="ndrplz"/>
    <s v="Andrea Palazzi"/>
    <s v="NOMITRI - PERCEPTION AI FOR MOBILE"/>
    <s v="Berlin"/>
    <s v="ndrplz@gmail.com"/>
    <x v="1"/>
    <s v="Head of AI @ Nomitri  - Computer Vision PhD"/>
    <n v="9"/>
    <n v="23"/>
    <n v="755"/>
    <n v="29"/>
    <s v="2013-01-04T18:13:26Z"/>
  </r>
  <r>
    <s v="zalando"/>
    <s v="Zalando SE"/>
    <m/>
    <s v="Berlin, Dublin, Helsinki, Dortmund, Erfurt, MÃ¶nchengladbach, Hamburg"/>
    <s v="opensource@zalando.de"/>
    <x v="1"/>
    <s v="The org page for Zalando, Europe's leading online fashion platform. Visit opensource.zalando.com for project stats."/>
    <n v="15"/>
    <n v="49"/>
    <n v="752"/>
    <n v="0"/>
    <s v="2012-03-22T14:47:53Z"/>
  </r>
  <r>
    <s v="voronianski"/>
    <s v="Dmytro Voronianski"/>
    <s v="SUMUP"/>
    <s v="Berlin, Germany"/>
    <m/>
    <x v="0"/>
    <s v="*.js,*.lua,*.swift"/>
    <n v="1"/>
    <n v="189"/>
    <n v="751"/>
    <n v="45"/>
    <s v="2011-08-11T14:20:36Z"/>
  </r>
  <r>
    <s v="maateen"/>
    <s v="Maksudur Rahman Maateen"/>
    <s v="QUANDOO"/>
    <s v="Berlin, Germany"/>
    <s v="maateen@outlook.com"/>
    <x v="0"/>
    <s v="DevOps Engineer | SRE"/>
    <n v="4"/>
    <n v="38"/>
    <n v="740"/>
    <n v="0"/>
    <s v="2015-03-31T18:34:38Z"/>
  </r>
  <r>
    <s v="Expensify"/>
    <s v="Expensify, Inc"/>
    <m/>
    <s v="San Francisco, Ironwood, Denver, London, Berlin, Melbourne, Portland"/>
    <m/>
    <x v="1"/>
    <m/>
    <n v="1"/>
    <n v="57"/>
    <n v="736"/>
    <n v="0"/>
    <s v="2010-11-11T03:59:16Z"/>
  </r>
  <r>
    <s v="lilic"/>
    <s v="Lili Cosic"/>
    <m/>
    <s v="Berlin, Germany"/>
    <m/>
    <x v="1"/>
    <s v="â˜ï¸ "/>
    <n v="1"/>
    <n v="92"/>
    <n v="735"/>
    <n v="12"/>
    <s v="2013-12-20T17:52:46Z"/>
  </r>
  <r>
    <s v="fzerorubigd"/>
    <s v="Forud"/>
    <m/>
    <s v="Berlin"/>
    <s v="fzero@rubi.gd"/>
    <x v="1"/>
    <s v="Full time dad, part time developer. "/>
    <n v="6"/>
    <n v="153"/>
    <n v="730"/>
    <n v="37"/>
    <s v="2011-07-24T06:07:47Z"/>
  </r>
  <r>
    <s v="endocrimes"/>
    <s v="Danielle"/>
    <s v="FERMYON TECHNOLOGIES"/>
    <s v="Berlin, Germany"/>
    <s v="dani@builds.terrible.systems"/>
    <x v="1"/>
    <s v="building tools &amp; communities."/>
    <n v="4"/>
    <n v="289"/>
    <n v="726"/>
    <n v="6"/>
    <s v="2012-01-14T21:35:58Z"/>
  </r>
  <r>
    <s v="plutov"/>
    <s v="Alex Pliutau"/>
    <s v="BINARLY-IO"/>
    <s v="Berlin, Germany"/>
    <s v="a.pliutau@gmail.com"/>
    <x v="0"/>
    <s v="SWE | Passionate about Backend, Go, Cloud, DevOps, Kubernetes | Writing https://packagemain.tech Newsletter |  ðŸ‡©ðŸ‡ª"/>
    <n v="15"/>
    <n v="69"/>
    <n v="717"/>
    <n v="307"/>
    <s v="2011-10-13T08:03:24Z"/>
  </r>
  <r>
    <s v="kjam"/>
    <s v="Katharine"/>
    <s v="KJAMISTAN"/>
    <s v="Berlin, Germany"/>
    <s v="katharine@kjamistan.com"/>
    <x v="1"/>
    <m/>
    <n v="1"/>
    <n v="41"/>
    <n v="714"/>
    <n v="0"/>
    <s v="2010-07-15T23:59:17Z"/>
  </r>
  <r>
    <s v="neelance"/>
    <s v="Richard Musiol"/>
    <m/>
    <s v="Berlin, Germany"/>
    <s v="mail@richard-musiol.de"/>
    <x v="1"/>
    <m/>
    <n v="1"/>
    <n v="61"/>
    <n v="711"/>
    <n v="3"/>
    <s v="2008-07-06T15:11:15Z"/>
  </r>
  <r>
    <s v="skade"/>
    <s v="Florian Gilcher"/>
    <s v="FERROUS SYSTEMS"/>
    <s v="Berlin"/>
    <s v="florian.gilcher@ferrous-systems.com"/>
    <x v="1"/>
    <s v="Managing Director @ferrous-systems. Heavily invested @rust-lang functional safety._x000d__x000a__x000d__x000a_Organiser @eurucamp/@jrubyconf/@rustfest/@oxidizeconf."/>
    <n v="9"/>
    <n v="420"/>
    <n v="709"/>
    <n v="13"/>
    <s v="2009-01-18T23:30:12Z"/>
  </r>
  <r>
    <s v="codergogoi"/>
    <s v="Jay Gogoi"/>
    <m/>
    <s v="Berlin, Germany"/>
    <s v="codergogoi@gmail.com"/>
    <x v="0"/>
    <s v="Lead Engineer  [ Backend | Architect | System Design | Go | Rust | NodeJs | NestJS | Typescript | ES6 | GraphQL | Microservice | AWS] Co-Founder of @GlasHomes"/>
    <n v="30"/>
    <n v="63"/>
    <n v="708"/>
    <n v="6"/>
    <s v="2014-03-24T14:30:29Z"/>
  </r>
  <r>
    <s v="RobertTLange"/>
    <s v="Robert Tjarko Lange"/>
    <m/>
    <s v="Tokyo, Berlin, Barcelona, London"/>
    <s v="robertlange0@gmail.com"/>
    <x v="1"/>
    <s v="_x000d__x000a_    _x000d__x000a_    _x000d__x000a_Meta-Discovery @SakanaAI ðŸ•µï¸_x000d__x000a__x000d__x000a__x000d__x000a_"/>
    <n v="5"/>
    <n v="36"/>
    <n v="692"/>
    <n v="10"/>
    <s v="2016-07-09T20:30:24Z"/>
  </r>
  <r>
    <s v="anapaulagomes"/>
    <s v="Ana Paula Gomes"/>
    <s v="ROBERT-KOCH-INSTITUT"/>
    <s v="Berlin"/>
    <m/>
    <x v="1"/>
    <s v="PhD student at the @robert-koch-institut (Centre for Artificial Intelligence in Public Health Research), master of none. Latina."/>
    <n v="17"/>
    <n v="63"/>
    <n v="691"/>
    <n v="310"/>
    <s v="2012-06-27T19:26:47Z"/>
  </r>
  <r>
    <s v="infusion"/>
    <s v="Robert Eisele"/>
    <s v="RAWIFY"/>
    <s v="Berlin"/>
    <m/>
    <x v="0"/>
    <s v="Mathematics, Machine Learning, Databases, Robotics, Hardware Hacking"/>
    <n v="7"/>
    <n v="35"/>
    <n v="691"/>
    <n v="3"/>
    <s v="2010-02-05T14:30:20Z"/>
  </r>
  <r>
    <s v="burakcan"/>
    <s v="Burak Can"/>
    <s v="HIVE-ENGINEERING"/>
    <s v="Berlin"/>
    <m/>
    <x v="0"/>
    <m/>
    <n v="1"/>
    <n v="62"/>
    <n v="690"/>
    <n v="125"/>
    <s v="2012-12-25T12:42:39Z"/>
  </r>
  <r>
    <s v="msaaddev"/>
    <s v="Saad Irfan"/>
    <s v="FOUNDING ENGINEER @LANGBASEINC"/>
    <s v="Berlin, Germany"/>
    <s v="mrsaadirfan@gmail.com"/>
    <x v="0"/>
    <s v="Turning ideas into code..."/>
    <n v="4"/>
    <n v="211"/>
    <n v="690"/>
    <n v="90"/>
    <s v="2018-10-21T14:24:25Z"/>
  </r>
  <r>
    <s v="sschmid"/>
    <s v="Simon Schmid"/>
    <s v="DESPERATEDEVS"/>
    <s v="Berlin"/>
    <m/>
    <x v="0"/>
    <s v="ðŸ‘¨â€ðŸ’»"/>
    <n v="1"/>
    <n v="61"/>
    <n v="689"/>
    <n v="1"/>
    <s v="2010-03-30T21:41:51Z"/>
  </r>
  <r>
    <s v="generall"/>
    <s v="Andrey Vasnetsov"/>
    <s v="QDRANT"/>
    <s v="Berlin"/>
    <s v="andrey@vasnetsov.com"/>
    <x v="0"/>
    <s v="CTO, creator of Qdrant. Interested in Vector Search, Metric Learning, Self-Supervised and One-Shot learning."/>
    <n v="14"/>
    <n v="100"/>
    <n v="683"/>
    <n v="199"/>
    <s v="2012-07-07T12:04:52Z"/>
  </r>
  <r>
    <s v="SpaceK33z"/>
    <s v="Kees Kluskens"/>
    <m/>
    <s v="Berlin, Germany"/>
    <m/>
    <x v="1"/>
    <s v="Software Engineer and all-around a person."/>
    <n v="6"/>
    <n v="87"/>
    <n v="680"/>
    <n v="7"/>
    <s v="2010-12-22T18:09:26Z"/>
  </r>
  <r>
    <s v="rootzoll"/>
    <s v="/rootzoll"/>
    <m/>
    <s v="Berlin"/>
    <m/>
    <x v="1"/>
    <s v="freelancer &amp; projects"/>
    <n v="3"/>
    <n v="41"/>
    <n v="678"/>
    <n v="20"/>
    <s v="2012-10-02T14:05:26Z"/>
  </r>
  <r>
    <s v="debris"/>
    <s v="Marek Kotewicz"/>
    <s v="PARITYTECH"/>
    <s v="Berlin, DE"/>
    <m/>
    <x v="1"/>
    <s v="rust"/>
    <n v="1"/>
    <n v="99"/>
    <n v="678"/>
    <n v="164"/>
    <s v="2012-10-21T16:33:44Z"/>
  </r>
  <r>
    <s v="m0nad"/>
    <s v="Victor Ramos Mello"/>
    <m/>
    <s v="Berlin"/>
    <m/>
    <x v="1"/>
    <m/>
    <n v="1"/>
    <n v="23"/>
    <n v="657"/>
    <n v="168"/>
    <s v="2011-05-06T18:40:11Z"/>
  </r>
  <r>
    <s v="ozgurozturknet"/>
    <s v="Ã–zgÃ¼r Ã–ZTÃœRK"/>
    <s v="MICROSOFT"/>
    <s v="Berlin"/>
    <s v="ozgur@ozgurozturk.net"/>
    <x v="1"/>
    <s v="1l0l1l1l0l0l1l1l0l0l0l1l1l0l1l1l1"/>
    <n v="1"/>
    <n v="32"/>
    <n v="654"/>
    <n v="3"/>
    <s v="2016-02-01T10:56:35Z"/>
  </r>
  <r>
    <s v="cjwirth"/>
    <s v="Caesar Wirth"/>
    <s v="DUOLINGO"/>
    <s v="Berlin, Germany"/>
    <m/>
    <x v="1"/>
    <m/>
    <n v="1"/>
    <n v="37"/>
    <n v="653"/>
    <n v="0"/>
    <s v="2012-03-27T12:33:59Z"/>
  </r>
  <r>
    <s v="janpio"/>
    <s v="Jan Piotrowski"/>
    <m/>
    <s v="Berlin, Germany"/>
    <m/>
    <x v="1"/>
    <m/>
    <n v="1"/>
    <n v="471"/>
    <n v="653"/>
    <n v="4"/>
    <s v="2010-01-16T18:13:07Z"/>
  </r>
  <r>
    <s v="philippjfr"/>
    <s v="Philipp Rudiger"/>
    <s v="ANACONDA INC."/>
    <s v="Berlin, Germany"/>
    <s v="prudiger@anaconda.com"/>
    <x v="0"/>
    <s v="Principal Software Engineer @ Anaconda Inc., creator of Panel, hvPlot, HoloViews and GeoViews and maintainer of Bokeh and Datashader."/>
    <n v="19"/>
    <n v="96"/>
    <n v="651"/>
    <n v="47"/>
    <s v="2012-03-18T21:34:51Z"/>
  </r>
  <r>
    <s v="XAMPPRocky"/>
    <m/>
    <m/>
    <s v="Berlin"/>
    <m/>
    <x v="0"/>
    <s v="âž£ Livia Prima"/>
    <n v="3"/>
    <n v="137"/>
    <n v="650"/>
    <n v="136"/>
    <s v="2013-05-18T11:34:54Z"/>
  </r>
  <r>
    <s v="increpare"/>
    <s v="increpare"/>
    <m/>
    <s v="Berlin, Germany"/>
    <s v="analytic@gmail.com"/>
    <x v="1"/>
    <m/>
    <n v="1"/>
    <n v="151"/>
    <n v="649"/>
    <n v="33"/>
    <s v="2010-11-03T11:15:32Z"/>
  </r>
  <r>
    <s v="dereuromark"/>
    <s v="Mark Scherer"/>
    <s v="AVAILABLE AS (CAKE)PHP EXPERT"/>
    <s v="Berlin"/>
    <m/>
    <x v="1"/>
    <s v="Senior Software Developer, Tooling Architect &amp; Master of Automation - PHP Expert Freelancer"/>
    <n v="13"/>
    <n v="92"/>
    <n v="647"/>
    <n v="21"/>
    <s v="2008-12-11T16:33:44Z"/>
  </r>
  <r>
    <s v="iuridepaula"/>
    <s v="Iuri de Paula"/>
    <s v="MIRO"/>
    <s v="Berlin"/>
    <m/>
    <x v="1"/>
    <s v="You are alive. Act like it."/>
    <n v="6"/>
    <n v="2"/>
    <n v="640"/>
    <n v="5"/>
    <s v="2018-04-18T17:58:43Z"/>
  </r>
  <r>
    <s v="Tienisto"/>
    <s v="Tien Do Nam"/>
    <m/>
    <s v="Berlin, Germany"/>
    <m/>
    <x v="1"/>
    <s v="I like Flutter"/>
    <n v="3"/>
    <n v="45"/>
    <n v="636"/>
    <n v="9"/>
    <s v="2018-04-14T15:20:37Z"/>
  </r>
  <r>
    <s v="LefterisJP"/>
    <s v="Lefteris Karapetsas"/>
    <m/>
    <s v="Berlin, Germany"/>
    <m/>
    <x v="0"/>
    <s v="Developer from Berlin. University of Tokyo graduate. Author of rotki, refulang, emacs-solidity._x000d__x000a__x000d__x000a_Ethereum developer. _x000d__x000a__x000d__x000a_Emacs zealot"/>
    <n v="15"/>
    <n v="151"/>
    <n v="633"/>
    <n v="14"/>
    <s v="2012-04-19T08:07:48Z"/>
  </r>
  <r>
    <s v="Conchylicultor"/>
    <s v="Conchylicultor"/>
    <s v="GOOGLE"/>
    <s v="Berlin"/>
    <s v="etiennefg.pot@gmail.com"/>
    <x v="1"/>
    <s v="Research Engineer"/>
    <n v="2"/>
    <n v="43"/>
    <n v="632"/>
    <n v="16"/>
    <s v="2014-10-07T06:51:59Z"/>
  </r>
  <r>
    <s v="localheinz"/>
    <s v="Andreas MÃ¶ller"/>
    <s v="ERGEBNIS"/>
    <s v="Berlin, Germany"/>
    <s v="am@localheinz.com"/>
    <x v="0"/>
    <s v="I own a computer._x000d__x000a__x000d__x000a_"/>
    <n v="4"/>
    <n v="452"/>
    <n v="618"/>
    <n v="198"/>
    <s v="2011-02-07T20:53:35Z"/>
  </r>
  <r>
    <s v="matthiasn"/>
    <s v="Matthias Nehlsen"/>
    <m/>
    <s v="Hamburg &amp; Berlin, Germany"/>
    <s v="matthias.nehlsen@gmail.com"/>
    <x v="0"/>
    <s v="I create technical debt for a living."/>
    <n v="7"/>
    <n v="122"/>
    <n v="609"/>
    <n v="221"/>
    <s v="2012-01-30T08:33:11Z"/>
  </r>
  <r>
    <s v="q9f"/>
    <s v="Afri"/>
    <m/>
    <s v="Berlin"/>
    <m/>
    <x v="0"/>
    <m/>
    <n v="1"/>
    <n v="74"/>
    <n v="609"/>
    <n v="1"/>
    <s v="2019-12-14T14:19:43Z"/>
  </r>
  <r>
    <s v="chrieke"/>
    <s v="Christoph Rieke"/>
    <m/>
    <s v="Berlin, Germany"/>
    <s v="christoph.k.rieke@gmail.com"/>
    <x v="1"/>
    <s v="Geospatial Data Scientist"/>
    <n v="3"/>
    <n v="38"/>
    <n v="606"/>
    <n v="236"/>
    <s v="2015-06-10T17:10:58Z"/>
  </r>
  <r>
    <s v="NikolaiT"/>
    <s v="Nikolai Tschacher"/>
    <s v="GERMANY/BERLIN"/>
    <s v="Berlin"/>
    <s v="tschacher.nikolai@gmail.com"/>
    <x v="0"/>
    <s v="I am a computer scientist (M. Sc.) and IT security specialist. Mostly working with JavaScript (Node.js) and Python. Creator and developer of ipapi.is"/>
    <n v="23"/>
    <n v="51"/>
    <n v="604"/>
    <n v="18"/>
    <s v="2013-05-26T15:01:11Z"/>
  </r>
  <r>
    <s v="thatisuday"/>
    <s v="Uday Hiwarale"/>
    <s v="SAP"/>
    <s v="Berlin, Germany"/>
    <m/>
    <x v="1"/>
    <s v="Senior Software Engineer @SAP "/>
    <n v="4"/>
    <n v="60"/>
    <n v="603"/>
    <n v="2"/>
    <s v="2013-10-17T17:36:52Z"/>
  </r>
  <r>
    <s v="rumyantseva"/>
    <s v="Elena Grahovac"/>
    <s v="FERRETDB"/>
    <s v="Berlin, Germany"/>
    <m/>
    <x v="0"/>
    <m/>
    <n v="1"/>
    <n v="78"/>
    <n v="602"/>
    <n v="29"/>
    <s v="2012-04-27T09:09:02Z"/>
  </r>
  <r>
    <s v="tcurdt"/>
    <s v="Torsten Curdt"/>
    <m/>
    <s v="Berlin"/>
    <m/>
    <x v="0"/>
    <m/>
    <n v="1"/>
    <n v="60"/>
    <n v="602"/>
    <n v="64"/>
    <s v="2008-06-14T07:00:08Z"/>
  </r>
  <r>
    <s v="salihgueler"/>
    <s v="Muhammed Salih Guler"/>
    <s v="AWS AMPLIFY"/>
    <s v="Berlin"/>
    <s v="muhammedsalihguler@gmail.com"/>
    <x v="1"/>
    <s v="advocate of devs"/>
    <n v="3"/>
    <n v="62"/>
    <n v="596"/>
    <n v="37"/>
    <s v="2016-12-07T11:35:10Z"/>
  </r>
  <r>
    <s v="iotaledger"/>
    <s v="IOTA"/>
    <m/>
    <s v="Berlin, Germany"/>
    <s v="info@iota.org"/>
    <x v="1"/>
    <s v="IOTA is a distributed ledger based on the Tangle. It allows for feeless value transfers and data integrity proofs."/>
    <n v="19"/>
    <n v="245"/>
    <n v="596"/>
    <n v="0"/>
    <s v="2016-06-24T10:55:18Z"/>
  </r>
  <r>
    <s v="splitbrain"/>
    <s v="Andreas Gohr"/>
    <s v="COSMOCODE GMBH"/>
    <s v="Berlin, Germany"/>
    <m/>
    <x v="0"/>
    <m/>
    <n v="1"/>
    <n v="166"/>
    <n v="593"/>
    <n v="68"/>
    <s v="2009-05-19T18:52:35Z"/>
  </r>
  <r>
    <s v="mtdvio"/>
    <s v="MTDV"/>
    <m/>
    <s v="Berlin"/>
    <s v="hello@mtdv.io"/>
    <x v="1"/>
    <s v="We help Software Engineers learn and grow!"/>
    <n v="7"/>
    <n v="5"/>
    <n v="593"/>
    <n v="0"/>
    <s v="2017-10-24T07:58:34Z"/>
  </r>
  <r>
    <s v="hukl"/>
    <s v="John-Paul Bader"/>
    <m/>
    <s v="Berlin"/>
    <m/>
    <x v="1"/>
    <m/>
    <n v="1"/>
    <n v="94"/>
    <n v="591"/>
    <n v="14"/>
    <s v="2008-09-18T10:56:01Z"/>
  </r>
  <r>
    <s v="juliusv"/>
    <s v="Julius Volz"/>
    <s v="PROMLABS"/>
    <s v="Berlin, Germany"/>
    <m/>
    <x v="1"/>
    <m/>
    <n v="1"/>
    <n v="80"/>
    <n v="591"/>
    <n v="4"/>
    <s v="2010-12-27T16:34:48Z"/>
  </r>
  <r>
    <s v="wolfv"/>
    <s v="Wolf Vollprecht"/>
    <s v="PREFIX.DEV GMBH"/>
    <s v="Berlin"/>
    <s v="w.vollprecht@gmail.com"/>
    <x v="1"/>
    <s v="prefix.dev |_x000d__x000a_Package Management, Robotics and Jupyter"/>
    <n v="6"/>
    <n v="493"/>
    <n v="584"/>
    <n v="87"/>
    <s v="2011-06-29T21:40:00Z"/>
  </r>
  <r>
    <s v="kakkoyun"/>
    <s v="Kemal Akkoyun"/>
    <m/>
    <s v="Berlin"/>
    <m/>
    <x v="0"/>
    <s v="Observability. Reliability. Performance. Linux, eBPF and profiling._x000d__x000a_Helping to maintain @prometheus, @thanos-io, @prometheus-operator and @parca-dev "/>
    <n v="14"/>
    <n v="169"/>
    <n v="584"/>
    <n v="552"/>
    <s v="2010-12-25T19:48:53Z"/>
  </r>
  <r>
    <s v="Jolg42"/>
    <s v="JoÃ«l Galeran"/>
    <s v="PRISMA"/>
    <s v="Berlin, localhost"/>
    <m/>
    <x v="0"/>
    <s v="Senior Developer â€¢ TypeError: undefined is not a function"/>
    <n v="9"/>
    <n v="157"/>
    <n v="582"/>
    <n v="1037"/>
    <s v="2012-01-13T20:34:58Z"/>
  </r>
  <r>
    <s v="manashmandal"/>
    <s v="Manash Kumar Mandal"/>
    <s v="CREDITORNOT"/>
    <s v="Berlin, Germany"/>
    <s v="manashmndl@gmail.com"/>
    <x v="0"/>
    <m/>
    <n v="1"/>
    <n v="207"/>
    <n v="582"/>
    <n v="737"/>
    <s v="2014-06-28T12:46:43Z"/>
  </r>
  <r>
    <s v="domschiener"/>
    <s v="Dominik Schiener"/>
    <s v="IOTALEDGER"/>
    <s v="Berlin, Germany"/>
    <m/>
    <x v="1"/>
    <s v="Co-founder of @iotaledger"/>
    <n v="3"/>
    <n v="33"/>
    <n v="580"/>
    <n v="0"/>
    <s v="2014-11-16T16:51:55Z"/>
  </r>
  <r>
    <s v="ebrugulec"/>
    <s v="Ebru Gulec"/>
    <m/>
    <s v="Berlin, Germany"/>
    <m/>
    <x v="0"/>
    <s v="Software Engineer, Bibliophile"/>
    <n v="3"/>
    <n v="32"/>
    <n v="579"/>
    <n v="289"/>
    <s v="2014-12-21T18:53:17Z"/>
  </r>
  <r>
    <s v="seyfer"/>
    <s v="Oleg Abrazhaev"/>
    <s v="HTTPS://SEYFER.GITHUB.IO/YOUR-LIFE/"/>
    <s v="Berlin, Germany"/>
    <s v="seyferseed@gmail.com"/>
    <x v="0"/>
    <s v="JS, TS, PHP, Scala, Java._x000d__x000a_If you follow me - I will follow you back._x000d__x000a_| GitLab: https://gitlab.com/seyfer"/>
    <n v="16"/>
    <n v="109"/>
    <n v="572"/>
    <n v="987"/>
    <s v="2012-02-29T02:58:19Z"/>
  </r>
  <r>
    <s v="kaisermann"/>
    <s v="Christian Kaisermann"/>
    <s v="GETCIRCUIT"/>
    <s v="Berlin"/>
    <s v="christian@kaisermann.me"/>
    <x v="1"/>
    <s v="building things to build other things."/>
    <n v="6"/>
    <n v="84"/>
    <n v="572"/>
    <n v="99"/>
    <s v="2015-06-01T19:03:09Z"/>
  </r>
  <r>
    <s v="rohan20"/>
    <s v="Rohan Taneja"/>
    <m/>
    <s v="Berlin, Germany"/>
    <m/>
    <x v="0"/>
    <s v="Flutter Evangelist_x000d__x000a_"/>
    <n v="2"/>
    <n v="124"/>
    <n v="567"/>
    <n v="1"/>
    <s v="2014-07-22T07:44:06Z"/>
  </r>
  <r>
    <s v="wix"/>
    <s v="Wix.com"/>
    <m/>
    <s v="Tel Aviv, Be'er Sheva, Haifa, Vilnius, Kyiv, Dnipro, New York, San Francisco, Miami, Los Angeles, Phoenix, Denver, Berlin, Sao Paulo, Vancouver, Dublin, Tokyo"/>
    <m/>
    <x v="1"/>
    <s v="Open-sourcing useful pieces of code"/>
    <n v="5"/>
    <n v="19"/>
    <n v="562"/>
    <n v="0"/>
    <s v="2011-03-23T16:40:49Z"/>
  </r>
  <r>
    <s v="cketti"/>
    <s v="cketti"/>
    <s v="THUNDERBIRD"/>
    <s v="Berlin, Germany"/>
    <s v="hello@cketti.de"/>
    <x v="1"/>
    <s v="Open source developer"/>
    <n v="3"/>
    <n v="105"/>
    <n v="558"/>
    <n v="134"/>
    <s v="2010-03-08T01:32:20Z"/>
  </r>
  <r>
    <s v="tasdikrahman"/>
    <s v="Tasdik Rahman"/>
    <s v="NEWRELIC"/>
    <s v="Berlin, Germany"/>
    <m/>
    <x v="0"/>
    <s v="Engineering @newrelic | @kubernetes-sigs Cluster API 1.9 Release Team | Formerly @deliveryhero, @gojek, @razorpay, past contributor to @oVirt"/>
    <n v="18"/>
    <n v="130"/>
    <n v="556"/>
    <n v="796"/>
    <s v="2013-06-11T17:41:01Z"/>
  </r>
  <r>
    <s v="berstend"/>
    <s v="berstendÌ”Ì„Ì“ÌÌ„Í›Í˜Ì€Ì²Ì«Ì¡Ì¹Ì Ì–ÍšÍ“"/>
    <m/>
    <s v="Berlin, Germany"/>
    <s v="github@berstend.com"/>
    <x v="1"/>
    <s v="@berstend_x000d__x000a_[ËˆbÉ›ÊstnÌ©t]"/>
    <n v="1"/>
    <n v="84"/>
    <n v="549"/>
    <n v="12"/>
    <s v="2012-01-22T19:47:12Z"/>
  </r>
  <r>
    <s v="ThisIsMissEm"/>
    <s v="Emelia Smith"/>
    <s v="UNOBVIOUS-TECHNOLOGY / @BRANDEDCODE"/>
    <s v="Berlin, Germany"/>
    <m/>
    <x v="1"/>
    <s v="_x000d__x000a_Tech Princess ðŸ‘¸ðŸ» Founder of @unobvious-technology ðŸ’ªðŸ» dweb philosopher ðŸ§ Tooling Witch ðŸ›  Contributor to the Fediverse, Former Node.js Contributor"/>
    <n v="20"/>
    <n v="178"/>
    <n v="548"/>
    <n v="118"/>
    <s v="2008-10-24T12:13:31Z"/>
  </r>
  <r>
    <s v="johannesjo"/>
    <s v="Johannes Millan"/>
    <s v="FRONTEND DEVELOPER"/>
    <s v="Berlin"/>
    <m/>
    <x v="0"/>
    <s v="I love programming!"/>
    <n v="3"/>
    <n v="56"/>
    <n v="545"/>
    <n v="140"/>
    <s v="2012-02-21T06:03:54Z"/>
  </r>
  <r>
    <s v="greyblake"/>
    <s v="Serhii Potapov"/>
    <s v="IMPERO-COM"/>
    <s v="Berlin"/>
    <m/>
    <x v="0"/>
    <s v="La suerte se burla de mi otra vez... En forma de  mÌ¶uÌ¶jÌ¶eÌ¶rÌ¶    JS..."/>
    <n v="13"/>
    <n v="116"/>
    <n v="545"/>
    <n v="119"/>
    <s v="2009-08-09T17:57:29Z"/>
  </r>
  <r>
    <s v="christianparpart"/>
    <s v="Christian Parpart"/>
    <s v="DR. JUNG &amp; PARTNER SOFTWARE &amp; CONSULTING AG"/>
    <s v="Germany/Berlin"/>
    <s v="christian@parpart.family"/>
    <x v="1"/>
    <s v="breathing C++ &amp; author of Contour Terminal"/>
    <n v="7"/>
    <n v="121"/>
    <n v="544"/>
    <n v="35"/>
    <s v="2009-02-22T08:09:37Z"/>
  </r>
  <r>
    <s v="davidsbatista"/>
    <s v="David S. Batista"/>
    <s v="DEEPSET"/>
    <s v="Berlin, Germany"/>
    <s v="dsbatista@gmail.com"/>
    <x v="0"/>
    <s v="Software Developer | NLP Engineer | Machine Learning @deepset-ai "/>
    <n v="9"/>
    <n v="39"/>
    <n v="544"/>
    <n v="115"/>
    <s v="2014-06-19T22:03:31Z"/>
  </r>
  <r>
    <s v="sheremet-va"/>
    <s v="Vladimir"/>
    <m/>
    <s v="Germany, Berlin"/>
    <m/>
    <x v="1"/>
    <m/>
    <n v="1"/>
    <n v="48"/>
    <n v="543"/>
    <n v="57"/>
    <s v="2015-12-06T07:43:18Z"/>
  </r>
  <r>
    <s v="ahmedash95"/>
    <s v="Ahmed Ammar"/>
    <m/>
    <s v="Berlin, Germany"/>
    <m/>
    <x v="1"/>
    <s v="Software Engineer"/>
    <n v="2"/>
    <n v="293"/>
    <n v="543"/>
    <n v="225"/>
    <s v="2014-07-26T00:37:59Z"/>
  </r>
  <r>
    <s v="kostasx"/>
    <s v="Kostas Minaidis"/>
    <s v="INTECHGRATION.IO"/>
    <s v="Athens, Greece / Berlin, Germany"/>
    <s v="minaidisk@gmail.com"/>
    <x v="1"/>
    <s v="Software Developer &amp; Tech Instructor_x000d__x000a_(JavaScript, Node.JS, PHP, Python, WordPress)_x000d__x000a_https://twitter.com/kostas_mns"/>
    <n v="9"/>
    <n v="348"/>
    <n v="541"/>
    <n v="1317"/>
    <s v="2012-04-12T21:44:20Z"/>
  </r>
  <r>
    <s v="lislis"/>
    <s v="lislis"/>
    <m/>
    <s v="Berlin"/>
    <m/>
    <x v="1"/>
    <m/>
    <n v="1"/>
    <n v="194"/>
    <n v="541"/>
    <n v="0"/>
    <s v="2011-08-26T12:36:13Z"/>
  </r>
  <r>
    <s v="AnirudhDagar"/>
    <s v="Anirudh Dagar"/>
    <s v="AWS @AUTOGLUON @D2L-AI"/>
    <s v="Berlin"/>
    <s v="anirudhdagar6@gmail.com"/>
    <x v="1"/>
    <s v="Open Source | Machine Learning"/>
    <n v="5"/>
    <n v="69"/>
    <n v="537"/>
    <n v="277"/>
    <s v="2016-11-21T00:11:30Z"/>
  </r>
  <r>
    <s v="arximboldi"/>
    <s v="Juanpe BolÃ­var"/>
    <s v="CTO @BRONZE-DEV"/>
    <s v="Berlin, Germany"/>
    <s v="juanpe@sinusoid.es"/>
    <x v="0"/>
    <s v="Postmodern C++, value-oriented design, interactive software, open-source strategy, functional programming, music tech."/>
    <n v="12"/>
    <n v="73"/>
    <n v="535"/>
    <n v="103"/>
    <s v="2013-05-24T16:37:06Z"/>
  </r>
  <r>
    <s v="mhagger"/>
    <s v="Michael Haggerty"/>
    <s v="GITHUB"/>
    <s v="Berlin, Germany"/>
    <s v="mhagger@alum.mit.edu"/>
    <x v="1"/>
    <m/>
    <n v="1"/>
    <n v="16"/>
    <n v="531"/>
    <n v="4"/>
    <s v="2009-08-26T13:01:43Z"/>
  </r>
  <r>
    <s v="boopathi"/>
    <s v="Boopathi Rajaa"/>
    <s v="ZALANDO"/>
    <s v="Berlin"/>
    <m/>
    <x v="0"/>
    <s v="web stuff"/>
    <n v="2"/>
    <n v="174"/>
    <n v="529"/>
    <n v="268"/>
    <s v="2010-06-02T14:50:11Z"/>
  </r>
  <r>
    <s v="DonnchaC"/>
    <s v="Donncha Ã“ Cearbhaill"/>
    <s v="AMNESTYTECH"/>
    <s v="Berlin"/>
    <s v="donncha.ocearbhaill@amnesty.org"/>
    <x v="0"/>
    <s v="Head of Security Lab at @AmnestyTech | Hunting spyware and unlawful surveillance targeting civil society"/>
    <n v="15"/>
    <n v="77"/>
    <n v="526"/>
    <n v="278"/>
    <s v="2012-12-19T14:04:14Z"/>
  </r>
  <r>
    <s v="gouthamve"/>
    <s v="Goutham Veeramachaneni"/>
    <s v="GRAFANA LABS"/>
    <s v="Berlin, Germany"/>
    <m/>
    <x v="1"/>
    <s v="@prometheus Maintainer. PM @grafana "/>
    <n v="4"/>
    <n v="181"/>
    <n v="523"/>
    <n v="27"/>
    <s v="2014-04-20T16:12:56Z"/>
  </r>
  <r>
    <s v="jackrusher"/>
    <s v="Jack Rusher"/>
    <s v="APPLIED SCIENCE STUDIO"/>
    <s v="Berlin"/>
    <s v="jack@rusher.com"/>
    <x v="1"/>
    <s v="Former kernel hacker and Bell Labs/AT&amp;T Researcher, currently making art and technology in Berlin."/>
    <n v="14"/>
    <n v="21"/>
    <n v="521"/>
    <n v="21"/>
    <s v="2010-03-10T22:49:07Z"/>
  </r>
  <r>
    <s v="matthiasplappert"/>
    <s v="Matthias Plappert"/>
    <m/>
    <s v="Berlin, Germany"/>
    <m/>
    <x v="1"/>
    <s v="I am a research scientist with an interest in machine learning, robotics, reinforcement learning, LLMs, and code synthesis."/>
    <n v="18"/>
    <n v="51"/>
    <n v="520"/>
    <n v="3"/>
    <s v="2009-09-07T19:15:27Z"/>
  </r>
  <r>
    <s v="nuhkoca"/>
    <s v="Nuh Koca"/>
    <s v="TRADEREPUBLIC"/>
    <s v="Berlin, Germany"/>
    <s v="nuhkocaa@gmail.com"/>
    <x v="0"/>
    <s v="@udacity Certified @google Android Developer | Passionate Android Engineer | Open Source Enthusiast | Android Community Lover"/>
    <n v="17"/>
    <n v="131"/>
    <n v="517"/>
    <n v="128"/>
    <s v="2013-10-18T15:24:18Z"/>
  </r>
  <r>
    <s v="faressoft"/>
    <s v="Mohammad Anas Fares"/>
    <s v="FARESSOFT"/>
    <s v="Berlin"/>
    <s v="faressoft.com@gmail.com"/>
    <x v="0"/>
    <s v="Senior Software Engineer at Wolt. Ex-Amazon._x000d__x000a__x000d__x000a_ðŸ¦„_x000d__x000a_Let's Talk !_x000d__x000a_https://linkedin.com/in/faressoft"/>
    <n v="8"/>
    <n v="78"/>
    <n v="516"/>
    <n v="19"/>
    <s v="2012-06-30T11:13:36Z"/>
  </r>
  <r>
    <s v="xeolabs"/>
    <s v="xeolabs"/>
    <s v="XEOLABS"/>
    <s v="Berlin, Germany, Aotearoa"/>
    <m/>
    <x v="0"/>
    <s v="3D Web Software Engineering | #BIM #AEC #MedViz #WebGPU #WebGL"/>
    <n v="10"/>
    <n v="172"/>
    <n v="515"/>
    <n v="12"/>
    <s v="2009-05-11T02:07:20Z"/>
  </r>
  <r>
    <s v="xyflow"/>
    <s v="xyflow"/>
    <m/>
    <s v="Berlin"/>
    <s v="info@xyflow.com"/>
    <x v="1"/>
    <s v="Powerful open source libraries for building node-based UIs with React or Svelte. Ready out-of-the-box and infinitely customizable"/>
    <n v="17"/>
    <n v="20"/>
    <n v="513"/>
    <n v="0"/>
    <s v="2014-03-30T12:14:11Z"/>
  </r>
  <r>
    <s v="AriaMinaei"/>
    <s v="Aria"/>
    <m/>
    <s v="Berlin &amp; Helsinki"/>
    <s v="aria.minaei@gmail.com"/>
    <x v="0"/>
    <m/>
    <n v="1"/>
    <n v="79"/>
    <n v="507"/>
    <n v="211"/>
    <s v="2011-01-31T16:59:46Z"/>
  </r>
  <r>
    <s v="hellofresh"/>
    <s v="HelloFresh"/>
    <m/>
    <s v="Berlin"/>
    <s v="admin@hellofresh.com"/>
    <x v="1"/>
    <m/>
    <n v="1"/>
    <n v="132"/>
    <n v="506"/>
    <n v="0"/>
    <s v="2013-05-14T17:25:24Z"/>
  </r>
  <r>
    <s v="lukasmasuch"/>
    <s v="Lukas Masuch"/>
    <m/>
    <s v="Berlin"/>
    <s v="Lukas.Masuch@gmail.com"/>
    <x v="1"/>
    <m/>
    <n v="1"/>
    <n v="62"/>
    <n v="506"/>
    <n v="28"/>
    <s v="2012-11-21T09:03:10Z"/>
  </r>
  <r>
    <s v="ikrum"/>
    <s v="Ikrum Hossain"/>
    <s v="DELIVERY HERO SE"/>
    <s v="Berlin, Germany"/>
    <s v="ikrum.bd@gmail.com"/>
    <x v="0"/>
    <s v="Live in code, Love in backend"/>
    <n v="6"/>
    <n v="32"/>
    <n v="500"/>
    <n v="12"/>
    <s v="2014-06-11T13:20:04Z"/>
  </r>
  <r>
    <s v="asus4"/>
    <s v="Koki Ibukuro"/>
    <s v="FREELANCE"/>
    <s v="Berlin"/>
    <m/>
    <x v="0"/>
    <s v="Freelance Creative Technologist"/>
    <n v="3"/>
    <n v="151"/>
    <n v="500"/>
    <n v="252"/>
    <s v="2010-08-08T04:36:35Z"/>
  </r>
  <r>
    <s v="simoneas02"/>
    <s v="Simone Amorim"/>
    <s v="AMPEROAI"/>
    <s v="Berlin-Germany"/>
    <s v="simoneas03@gmail.com"/>
    <x v="0"/>
    <s v="Mother, WWCode Leader, front-end developer, and  CSS evangelist. I'm passionate about running and bike riding  :heart: _x000d__x000a_"/>
    <n v="17"/>
    <n v="51"/>
    <n v="499"/>
    <n v="280"/>
    <s v="2014-06-09T18:22:22Z"/>
  </r>
  <r>
    <s v="x42"/>
    <s v="Robin Gareus"/>
    <m/>
    <s v="Berlin"/>
    <m/>
    <x v="1"/>
    <m/>
    <n v="1"/>
    <n v="125"/>
    <n v="498"/>
    <n v="8"/>
    <s v="2008-10-21T22:05:01Z"/>
  </r>
  <r>
    <s v="blueyed"/>
    <s v="Daniel Hahler"/>
    <s v="FREELANCER, UP FOR HIRE"/>
    <s v="Berlin, Germany"/>
    <s v="github@thequod.de"/>
    <x v="0"/>
    <s v="Loving Python, terminals and good DevOps workflows._x000d__x000a_Support me via Bitcoin (18mYKFCYgpWREUW3QtgQXP19CkfyZ1Nce8), or Flattr."/>
    <n v="13"/>
    <n v="595"/>
    <n v="494"/>
    <n v="99"/>
    <s v="2008-05-09T07:24:46Z"/>
  </r>
  <r>
    <s v="peterp"/>
    <s v="Peter Pistorius"/>
    <s v="SNAPLET @REDWOODJS"/>
    <s v="Berlin"/>
    <m/>
    <x v="1"/>
    <s v="Building https://www.snaplet.dev, co-creator of @redwoodjs "/>
    <n v="5"/>
    <n v="30"/>
    <n v="494"/>
    <n v="539"/>
    <s v="2009-01-07T14:40:05Z"/>
  </r>
  <r>
    <s v="marinalimeira"/>
    <s v="Marina"/>
    <s v="GRIFFINBANK"/>
    <s v="Berlin"/>
    <m/>
    <x v="1"/>
    <s v="Software engineer at @griffinbank "/>
    <n v="4"/>
    <n v="84"/>
    <n v="493"/>
    <n v="69"/>
    <s v="2014-10-24T17:17:27Z"/>
  </r>
  <r>
    <s v="metalmatze"/>
    <s v="Matthias Loibl"/>
    <s v="POLARSIGNALS"/>
    <s v="Berlin"/>
    <s v="mail@matthiasloibl.com"/>
    <x v="1"/>
    <s v="Director of @polarsignals Cloud._x000d__x000a_Interested in web development, distributed systems, and metal. "/>
    <n v="11"/>
    <n v="102"/>
    <n v="489"/>
    <n v="144"/>
    <s v="2011-06-24T01:30:32Z"/>
  </r>
  <r>
    <s v="segunfamisa"/>
    <s v="Segun Famisa"/>
    <m/>
    <s v="Berlin, Germany"/>
    <s v="segunfamisa@gmail.com"/>
    <x v="1"/>
    <s v="Software Engineer"/>
    <n v="2"/>
    <n v="65"/>
    <n v="488"/>
    <n v="23"/>
    <s v="2012-08-10T16:35:27Z"/>
  </r>
  <r>
    <s v="stefanw"/>
    <s v="Stefan Wehrmeyer"/>
    <m/>
    <s v="Berlin, Germany"/>
    <m/>
    <x v="1"/>
    <m/>
    <n v="1"/>
    <n v="161"/>
    <n v="488"/>
    <n v="69"/>
    <s v="2009-04-27T14:29:16Z"/>
  </r>
  <r>
    <s v="ethanfrey"/>
    <s v="Ethan Frey"/>
    <m/>
    <s v="Berlin, Germany"/>
    <m/>
    <x v="1"/>
    <m/>
    <n v="1"/>
    <n v="62"/>
    <n v="487"/>
    <n v="11"/>
    <s v="2013-10-15T09:30:08Z"/>
  </r>
  <r>
    <s v="PragTob"/>
    <s v="Tobias Pfeiffer"/>
    <s v="REMOTE.COM"/>
    <s v="Berlin"/>
    <s v="pragtob@gmail.com"/>
    <x v="1"/>
    <s v="Likes people. Teamplayer, Open Source Enthusiast, Software Developer, TDDer, Speaker. Ruby, Elixir, JavaScript. Runs RUG::B. Loves green."/>
    <n v="17"/>
    <n v="216"/>
    <n v="483"/>
    <n v="107"/>
    <s v="2011-02-08T10:31:59Z"/>
  </r>
  <r>
    <s v="roidrage"/>
    <s v="Mathias Meyer"/>
    <m/>
    <s v="Berlin, Germany"/>
    <s v="meyer@paperplanes.de"/>
    <x v="1"/>
    <s v="I used to write code once, now I just write words."/>
    <n v="11"/>
    <n v="135"/>
    <n v="483"/>
    <n v="0"/>
    <s v="2008-04-06T08:53:03Z"/>
  </r>
  <r>
    <s v="hwclass"/>
    <s v="BarÄ±ÅŸ GÃ¼ler"/>
    <s v="WURTH"/>
    <s v="Berlin"/>
    <s v="harderworking.class@gmail.com"/>
    <x v="0"/>
    <m/>
    <n v="1"/>
    <n v="167"/>
    <n v="481"/>
    <n v="604"/>
    <s v="2013-03-02T20:06:36Z"/>
  </r>
  <r>
    <s v="juanitorduz"/>
    <s v="Juan Orduz"/>
    <s v="WOLT / PYMC LABS"/>
    <s v="Berlin"/>
    <s v="juanitorduz@gmail.com"/>
    <x v="1"/>
    <s v="Mathematician &amp; Data Scientist"/>
    <n v="4"/>
    <n v="33"/>
    <n v="479"/>
    <n v="276"/>
    <s v="2016-10-22T10:23:38Z"/>
  </r>
  <r>
    <s v="rdilruba"/>
    <s v="Dilruba"/>
    <m/>
    <s v="Berlin"/>
    <s v="dilrubakose@gmail.com"/>
    <x v="1"/>
    <s v="Software developer"/>
    <n v="2"/>
    <n v="32"/>
    <n v="476"/>
    <n v="4"/>
    <s v="2017-01-30T14:44:09Z"/>
  </r>
  <r>
    <s v="okwme"/>
    <s v="billy rennekamp"/>
    <s v="TRIFLE-LABS, @CLOVERS-NETWORK &amp; @FOLIA-APP PREV @COSMOS &amp; @INTERCHAINIO"/>
    <s v="Berlin"/>
    <s v="billy.rennekamp@gmail.com"/>
    <x v="0"/>
    <m/>
    <n v="1"/>
    <n v="148"/>
    <n v="476"/>
    <n v="284"/>
    <s v="2011-08-07T05:56:16Z"/>
  </r>
  <r>
    <s v="ivangfr"/>
    <s v="Ivan Franchin"/>
    <m/>
    <s v="Berlin, Germany"/>
    <m/>
    <x v="1"/>
    <m/>
    <n v="1"/>
    <n v="61"/>
    <n v="473"/>
    <n v="4"/>
    <s v="2015-01-16T17:24:16Z"/>
  </r>
  <r>
    <s v="abhishek-ch"/>
    <s v="Abhishek Choudhary"/>
    <m/>
    <s v="Berlin, Germany"/>
    <m/>
    <x v="0"/>
    <s v="_x000d__x000a_    Data Engineer and Data Science_x000d__x000a_Working on several Big Data Technologies like Apache Spark, Hadoop, Kafka, Imapala, Apache Beam, Hive and others_x000d__x000a_"/>
    <n v="22"/>
    <n v="66"/>
    <n v="469"/>
    <n v="197"/>
    <s v="2014-05-14T09:57:08Z"/>
  </r>
  <r>
    <s v="durran"/>
    <s v="Durran Jordan"/>
    <s v="MONGODB @10GEN"/>
    <s v="Berlin, Deutschland"/>
    <s v="durran@gmail.com"/>
    <x v="1"/>
    <m/>
    <n v="1"/>
    <n v="54"/>
    <n v="466"/>
    <n v="0"/>
    <s v="2008-05-01T14:46:53Z"/>
  </r>
  <r>
    <s v="aabouzaid"/>
    <s v="Ahmed AbouZaid"/>
    <m/>
    <s v="Berlin, Germany"/>
    <m/>
    <x v="1"/>
    <s v="Tech Lead with Agility | M.Sc. in Data | Cloud-Native at Core | DevOps Transformation Advisor and Mentor | I enjoy helping businesses and individuals!"/>
    <n v="25"/>
    <n v="97"/>
    <n v="466"/>
    <n v="143"/>
    <s v="2014-02-23T00:49:55Z"/>
  </r>
  <r>
    <s v="chrisgrieser"/>
    <s v="Chris Grieser"/>
    <s v="TECHNICAL UNIVERSITY OF BERLIN"/>
    <s v="Berlin, Germany"/>
    <m/>
    <x v="1"/>
    <s v="Researcher in sociology &amp; SWE"/>
    <n v="5"/>
    <n v="80"/>
    <n v="465"/>
    <n v="26"/>
    <s v="2020-10-22T10:50:35Z"/>
  </r>
  <r>
    <s v="sagar-viradiya"/>
    <s v="Sagar Viradiya"/>
    <m/>
    <s v="Berlin, Germany"/>
    <s v="sagarviradiya4444@gmail.com"/>
    <x v="0"/>
    <s v="Google Developer Expert for Android | Co-organizer of GDG MAD"/>
    <n v="10"/>
    <n v="75"/>
    <n v="463"/>
    <n v="96"/>
    <s v="2015-03-21T14:10:41Z"/>
  </r>
  <r>
    <s v="DominicBreuker"/>
    <s v="Dominic Breuker"/>
    <m/>
    <s v="Berlin"/>
    <m/>
    <x v="1"/>
    <m/>
    <n v="1"/>
    <n v="84"/>
    <n v="463"/>
    <n v="53"/>
    <s v="2013-10-29T15:19:34Z"/>
  </r>
  <r>
    <s v="vertexclique"/>
    <s v="Theo M. Bulut"/>
    <m/>
    <s v="Berlin, Germany"/>
    <m/>
    <x v="0"/>
    <s v="Î»x.Î»y.y â†’ Î»x.Î»z.z | compiler opt, _x000d__x000a_ @rust-lang, and ML  | 0xD20F2F5E6DFD6F11 â€“ Different barb, same wire"/>
    <n v="17"/>
    <n v="135"/>
    <n v="462"/>
    <n v="4"/>
    <s v="2011-01-22T22:31:40Z"/>
  </r>
  <r>
    <s v="ahmedeltaher"/>
    <s v="ahmed.mohamed"/>
    <s v="SAP SE"/>
    <s v="Berlin"/>
    <s v="ahmed000eltaher@gmail.com"/>
    <x v="0"/>
    <s v="Development Architect "/>
    <n v="2"/>
    <n v="51"/>
    <n v="461"/>
    <n v="15"/>
    <s v="2012-06-03T12:38:01Z"/>
  </r>
  <r>
    <s v="mxmxmx"/>
    <s v="mxmxmx"/>
    <m/>
    <s v="Berlin"/>
    <m/>
    <x v="1"/>
    <s v="..."/>
    <n v="1"/>
    <n v="16"/>
    <n v="456"/>
    <n v="0"/>
    <s v="2013-05-26T08:33:37Z"/>
  </r>
  <r>
    <s v="photoprism"/>
    <s v="PhotoPrism"/>
    <m/>
    <s v="Berlin, Germany"/>
    <s v="hello@photoprism.app"/>
    <x v="1"/>
    <s v="AI-Powered Photos App for the Decentralized Web. We are on a mission to protect your freedom and privacy."/>
    <n v="18"/>
    <n v="16"/>
    <n v="455"/>
    <n v="0"/>
    <s v="2017-10-01T16:01:01Z"/>
  </r>
  <r>
    <s v="diessica"/>
    <m/>
    <m/>
    <s v="Berlin, Germany"/>
    <m/>
    <x v="1"/>
    <s v="brazilian utopian alien"/>
    <n v="3"/>
    <n v="43"/>
    <n v="455"/>
    <n v="140"/>
    <s v="2013-08-24T23:40:04Z"/>
  </r>
  <r>
    <s v="christophergandrud"/>
    <s v="Christopher Gandrud"/>
    <s v="SPOTIFY"/>
    <s v="Berlin"/>
    <m/>
    <x v="0"/>
    <s v="Personalization @spotify"/>
    <n v="2"/>
    <n v="147"/>
    <n v="448"/>
    <n v="19"/>
    <s v="2011-12-26T07:27:16Z"/>
  </r>
  <r>
    <s v="drogus"/>
    <s v="Piotr Sarnacki"/>
    <s v="CLOCKWORK LABS"/>
    <s v="Berlin"/>
    <s v="drogus@gmail.com"/>
    <x v="1"/>
    <m/>
    <n v="1"/>
    <n v="176"/>
    <n v="448"/>
    <n v="39"/>
    <s v="2008-04-04T10:28:01Z"/>
  </r>
  <r>
    <s v="tessr"/>
    <s v="Tess Rinearson"/>
    <m/>
    <s v="Berlin"/>
    <m/>
    <x v="1"/>
    <m/>
    <n v="1"/>
    <n v="25"/>
    <n v="447"/>
    <n v="2"/>
    <s v="2011-05-07T07:36:59Z"/>
  </r>
  <r>
    <s v="SimonDanisch"/>
    <s v="Simon"/>
    <s v="MAKIEORG"/>
    <s v="Berlin"/>
    <m/>
    <x v="1"/>
    <s v="Working on Julia, Graphics and GPUs"/>
    <n v="6"/>
    <n v="229"/>
    <n v="445"/>
    <n v="49"/>
    <s v="2011-08-28T20:28:21Z"/>
  </r>
  <r>
    <s v="KutayAkalin"/>
    <s v="Kutay AkalÄ±n"/>
    <m/>
    <s v="Berlin"/>
    <m/>
    <x v="1"/>
    <m/>
    <n v="1"/>
    <n v="28"/>
    <n v="440"/>
    <n v="18"/>
    <s v="2017-09-28T11:36:22Z"/>
  </r>
  <r>
    <s v="Ohara124c41"/>
    <s v="Christopher Ohara"/>
    <s v="DAILAB, @UDACITY"/>
    <s v=" Tokyo â®€ Los Angeles â®€ Berlin"/>
    <s v="cao36@njit.edu"/>
    <x v="0"/>
    <s v="Roboticist and cybernetician. Specializes in (space) robotics, artificial intelligence, embedded systems, and mechatronics."/>
    <n v="13"/>
    <n v="142"/>
    <n v="437"/>
    <n v="512"/>
    <s v="2017-04-29T22:10:06Z"/>
  </r>
  <r>
    <s v="IRCSS"/>
    <s v="Shahriar Shahrabi"/>
    <m/>
    <s v="Berlin"/>
    <s v="sh.shahrabi@hotmail.com"/>
    <x v="1"/>
    <s v="An Iranian technical artist and programmer. "/>
    <n v="6"/>
    <n v="31"/>
    <n v="434"/>
    <n v="0"/>
    <s v="2016-04-22T11:56:21Z"/>
  </r>
  <r>
    <s v="mntmn"/>
    <s v="minute"/>
    <s v="LUKAS F. HARTMANN / MNT RESEARCH GMBH"/>
    <s v="Berlin"/>
    <s v="lukas@mntmn.com"/>
    <x v="1"/>
    <m/>
    <n v="1"/>
    <n v="61"/>
    <n v="433"/>
    <n v="36"/>
    <s v="2009-11-08T15:36:47Z"/>
  </r>
  <r>
    <s v="ff6347"/>
    <s v="Fabian MorÃ³n Zirfas"/>
    <s v="HBK-BS"/>
    <s v="Berlin"/>
    <m/>
    <x v="0"/>
    <s v="ðŸ‘‹ðŸ½  I'm Fabian. I'm a creative technologist and educator @hbk-bs living in Berlin who occasionally does stuff that involves things."/>
    <n v="20"/>
    <n v="518"/>
    <n v="431"/>
    <n v="609"/>
    <s v="2010-06-26T09:38:16Z"/>
  </r>
  <r>
    <s v="berinhard"/>
    <s v="berin"/>
    <m/>
    <s v="Berlin, Germany"/>
    <m/>
    <x v="1"/>
    <s v="let's play that"/>
    <n v="3"/>
    <n v="70"/>
    <n v="429"/>
    <n v="72"/>
    <s v="2010-04-06T19:53:33Z"/>
  </r>
  <r>
    <s v="kianenigma"/>
    <s v="Kian Paimani"/>
    <s v="PARITYTECH"/>
    <s v="Berlin"/>
    <m/>
    <x v="1"/>
    <s v="@rustlang dev @paritytech._x000d__x000a__x000d__x000a_Parallel and Distributed Computer Systems @ VU Amsterdam."/>
    <n v="10"/>
    <n v="81"/>
    <n v="427"/>
    <n v="63"/>
    <s v="2013-10-01T18:16:39Z"/>
  </r>
  <r>
    <s v="SuperQ"/>
    <s v="Ben Kochie"/>
    <s v="PROMETHEUS"/>
    <s v="Berlin, Germany"/>
    <s v="superq@gmail.com"/>
    <x v="1"/>
    <s v="Bit Plumber"/>
    <n v="2"/>
    <n v="170"/>
    <n v="425"/>
    <n v="9"/>
    <s v="2012-01-11T05:18:28Z"/>
  </r>
  <r>
    <s v="gwens"/>
    <s v="Gwenan Spearing"/>
    <s v="VIMCAR"/>
    <s v="Berlin"/>
    <s v="gwenanspearing@hotmail.com"/>
    <x v="1"/>
    <m/>
    <n v="1"/>
    <n v="0"/>
    <n v="422"/>
    <n v="23"/>
    <s v="2013-09-09T11:16:07Z"/>
  </r>
  <r>
    <s v="hellosagar"/>
    <s v="Sagar Khurana"/>
    <s v="VIAEUROPE"/>
    <s v="Berlin, Germany"/>
    <m/>
    <x v="1"/>
    <s v=" Android App Developer ||  Open Source Enthusiast || AWS Amplify || GSoC'22 @ Robolectric"/>
    <n v="14"/>
    <n v="96"/>
    <n v="421"/>
    <n v="198"/>
    <s v="2019-04-26T10:37:13Z"/>
  </r>
  <r>
    <s v="tmbo"/>
    <s v="Tom Bocklisch"/>
    <s v="RASAHQ @SCALABLEMINDS"/>
    <s v="Berlin"/>
    <s v="tom@rasa.com"/>
    <x v="0"/>
    <s v="Full time Principal Architect @RasaHQ and Fun time Co Founder @scalableminds"/>
    <n v="11"/>
    <n v="62"/>
    <n v="420"/>
    <n v="2"/>
    <s v="2011-10-03T10:07:47Z"/>
  </r>
  <r>
    <s v="delucis"/>
    <s v="Chris Swithinbank"/>
    <s v="WITHASTRO"/>
    <s v="Berlin, Germany"/>
    <m/>
    <x v="0"/>
    <m/>
    <n v="1"/>
    <n v="100"/>
    <n v="419"/>
    <n v="146"/>
    <s v="2010-08-07T23:44:28Z"/>
  </r>
  <r>
    <s v="hanshuebner"/>
    <s v="Hans HÃ¼bner"/>
    <m/>
    <s v="Berlin"/>
    <s v="hans.huebner@gmail.com"/>
    <x v="1"/>
    <m/>
    <n v="1"/>
    <n v="203"/>
    <n v="419"/>
    <n v="18"/>
    <s v="2009-07-26T05:51:20Z"/>
  </r>
  <r>
    <s v="ueberdosis"/>
    <s v="Tiptap"/>
    <m/>
    <s v="Berlin, Germany"/>
    <s v="humans@tiptap.dev"/>
    <x v="1"/>
    <s v="Developer toolkit for building collaborative apps"/>
    <n v="6"/>
    <n v="34"/>
    <n v="419"/>
    <n v="0"/>
    <s v="2016-01-28T14:21:50Z"/>
  </r>
  <r>
    <s v="almaleksia"/>
    <s v="Ksenia Bobrova"/>
    <s v="MICROSOFT"/>
    <s v="Berlin"/>
    <m/>
    <x v="1"/>
    <s v="Ruby/Go"/>
    <n v="1"/>
    <n v="14"/>
    <n v="415"/>
    <n v="9"/>
    <s v="2012-06-23T20:20:27Z"/>
  </r>
  <r>
    <s v="hackebrot"/>
    <s v="Raphael Aurich"/>
    <s v="MOZILLA"/>
    <s v="Berlin, Germany"/>
    <m/>
    <x v="1"/>
    <s v="open-source developer ðŸ‘¨ðŸ»â€ðŸ’» member of @pytest-dev ðŸš€ staff software engineer at @mozilla ðŸ”¥ðŸ¦Š he/him"/>
    <n v="14"/>
    <n v="123"/>
    <n v="414"/>
    <n v="17"/>
    <s v="2013-11-24T16:39:52Z"/>
  </r>
  <r>
    <s v="AlexDenisov"/>
    <s v="Alex Denisov"/>
    <s v="FLEXAIHQ"/>
    <s v="Berlin"/>
    <s v="alex@lowlevelbits.org"/>
    <x v="1"/>
    <s v="Talking to machines"/>
    <n v="3"/>
    <n v="81"/>
    <n v="411"/>
    <n v="36"/>
    <s v="2011-11-06T09:23:32Z"/>
  </r>
  <r>
    <s v="danascript"/>
    <s v="Daniela"/>
    <m/>
    <s v="Berlin, Germany"/>
    <m/>
    <x v="1"/>
    <s v="Hi! ðŸ‘‹  I used to be an architect and now I code for a living. I create content and tutorials so that others could make a similar switch too."/>
    <n v="29"/>
    <n v="44"/>
    <n v="406"/>
    <n v="56"/>
    <s v="2016-09-17T11:11:48Z"/>
  </r>
  <r>
    <s v="tarek360"/>
    <s v="Ahmed Tarek"/>
    <m/>
    <s v="Berlin"/>
    <s v="a.tarek360@gmail.com"/>
    <x v="0"/>
    <s v="I enjoy pushing the limits of the Android development. I write to learn, I learn to share and I share to learn more._x000d__x000a_Twitter: a_tarek360"/>
    <n v="24"/>
    <n v="87"/>
    <n v="406"/>
    <n v="16"/>
    <s v="2014-09-01T13:53:21Z"/>
  </r>
  <r>
    <s v="tillrohrmann"/>
    <s v="Till Rohrmann"/>
    <s v="RESTATE"/>
    <s v="Berlin, Germany"/>
    <s v="trohrmann@apache.org"/>
    <x v="0"/>
    <s v="Trying to make building distributed systems simpler again with @restatedev. Apache Flink PMC member."/>
    <n v="14"/>
    <n v="105"/>
    <n v="403"/>
    <n v="18"/>
    <s v="2013-10-23T14:02:45Z"/>
  </r>
  <r>
    <s v="sschuberth"/>
    <s v="Sebastian Schuberth"/>
    <s v="CEO &amp; CTO OF @DOUBLEOPEN-PROJECT"/>
    <s v="Berlin, Germany"/>
    <m/>
    <x v="1"/>
    <s v="A Kotlin enthusiast who's enjoying to work with and on Open Source Software."/>
    <n v="13"/>
    <n v="119"/>
    <n v="403"/>
    <n v="236"/>
    <s v="2010-07-30T10:42:04Z"/>
  </r>
  <r>
    <s v="esc"/>
    <s v="Emergency Self-Construct"/>
    <s v="ANACONDA INC."/>
    <s v="Berlin, Germany"/>
    <m/>
    <x v="1"/>
    <s v="virtual entity ðŸ’£ðŸ’£ðŸ’£ðŸ’£"/>
    <n v="3"/>
    <n v="46"/>
    <n v="403"/>
    <n v="95"/>
    <s v="2008-12-19T11:43:31Z"/>
  </r>
  <r>
    <s v="mrackwitz"/>
    <s v="Marius Rackwitz"/>
    <s v="WELLSPENT"/>
    <s v="Remote | Berlin, Germany"/>
    <m/>
    <x v="1"/>
    <s v="Cofounder @nlbb / Wellspent._x000d__x000a__x000d__x000a_Email me to:_x000d__x000a_contactï¼ $firstName$lastName.de"/>
    <n v="6"/>
    <n v="102"/>
    <n v="401"/>
    <n v="147"/>
    <s v="2012-01-29T12:44:28Z"/>
  </r>
  <r>
    <s v="hagenburger"/>
    <s v="Nico Hagenburger"/>
    <s v="TYPEFACE DESIGNER, DESIGN SYSTEMS LEAD"/>
    <s v="Berlin, Germany"/>
    <m/>
    <x v="0"/>
    <s v="Design Systems Lead at WIFI@DB (@DeutscheBahnAG), former DS @heremaps, mentor for #RGSoC for PIMD &amp; @LSGorg, typeface designer, U-Bahn nerd."/>
    <n v="20"/>
    <n v="64"/>
    <n v="400"/>
    <n v="12"/>
    <s v="2009-07-09T21:15:30Z"/>
  </r>
  <r>
    <s v="gusgad"/>
    <s v="Guseyn Gadirov"/>
    <m/>
    <s v="Berlin, Germany"/>
    <s v="gusgadirov@gmail.com"/>
    <x v="1"/>
    <m/>
    <n v="1"/>
    <n v="29"/>
    <n v="399"/>
    <n v="24"/>
    <s v="2015-12-06T20:08:37Z"/>
  </r>
  <r>
    <s v="w0rm"/>
    <s v="Andrey Kuzmin"/>
    <m/>
    <s v="Berlin, Germany"/>
    <s v="hi@unsoundscapes.com"/>
    <x v="0"/>
    <s v="_x000d__x000a_    I &lt;3 concerts, yoga &amp; functional programming. _x000d__x000a_"/>
    <n v="9"/>
    <n v="48"/>
    <n v="398"/>
    <n v="140"/>
    <s v="2008-12-31T08:00:57Z"/>
  </r>
  <r>
    <s v="cpanato"/>
    <s v="Carlos Tadeu Panato Junior"/>
    <s v="CHAINGUARD-DEV"/>
    <s v="Berlin"/>
    <s v="ctadeu@gmail.com"/>
    <x v="1"/>
    <m/>
    <n v="1"/>
    <n v="355"/>
    <n v="396"/>
    <n v="0"/>
    <s v="2013-04-10T13:39:08Z"/>
  </r>
  <r>
    <s v="azproduction"/>
    <s v="Mikhail Davydov"/>
    <s v="ARRIVAL GERMANY GMBH"/>
    <s v="Germany, Berlin"/>
    <m/>
    <x v="0"/>
    <m/>
    <n v="1"/>
    <n v="96"/>
    <n v="396"/>
    <n v="7"/>
    <s v="2010-11-16T13:48:46Z"/>
  </r>
  <r>
    <s v="ForsakenHarmony"/>
    <s v="hrmny"/>
    <s v="SOFTWARE ENGINEER @VERCEL"/>
    <s v="Berlin, Germany"/>
    <m/>
    <x v="1"/>
    <s v="@preactjs core team | â¤ï¸ @rust-lang"/>
    <n v="6"/>
    <n v="139"/>
    <n v="394"/>
    <n v="6"/>
    <s v="2014-09-20T21:12:59Z"/>
  </r>
  <r>
    <s v="lucasmichot"/>
    <s v="Lucas Michot"/>
    <m/>
    <s v="Berlin, Germany"/>
    <m/>
    <x v="1"/>
    <m/>
    <n v="1"/>
    <n v="20"/>
    <n v="393"/>
    <n v="18"/>
    <s v="2010-12-07T19:37:57Z"/>
  </r>
  <r>
    <s v="jrieke"/>
    <s v="Johannes Rieke"/>
    <s v="STREAMLIT"/>
    <s v="Berlin, Germany"/>
    <s v="johannes.rieke@gmail.com"/>
    <x v="0"/>
    <s v="Product manager @streamlit"/>
    <n v="3"/>
    <n v="101"/>
    <n v="393"/>
    <n v="44"/>
    <s v="2013-07-27T16:04:45Z"/>
  </r>
  <r>
    <s v="slint-ui"/>
    <s v="Slint"/>
    <m/>
    <s v="Berlin"/>
    <s v="info@slint.dev"/>
    <x v="1"/>
    <s v="Slint - Declarative GUI for Rust, C++, and JavaScript"/>
    <n v="9"/>
    <n v="36"/>
    <n v="392"/>
    <n v="0"/>
    <s v="2020-05-03T15:35:02Z"/>
  </r>
  <r>
    <s v="lastzero"/>
    <s v="Michael Mayer"/>
    <s v="PHOTOPRISM"/>
    <s v="Berlin"/>
    <s v="michael@photoprism.app"/>
    <x v="1"/>
    <s v="Started coding on an Atari 1040 ST, survived Usenet, and got involved with the Web and Open Source in the early 90s. Simple is beautiful."/>
    <n v="25"/>
    <n v="48"/>
    <n v="390"/>
    <n v="170"/>
    <s v="2010-06-10T09:26:44Z"/>
  </r>
  <r>
    <s v="ndom91"/>
    <s v="Nico Domino"/>
    <m/>
    <s v="Berlin"/>
    <m/>
    <x v="1"/>
    <s v="CEO of HTML"/>
    <n v="3"/>
    <n v="130"/>
    <n v="390"/>
    <n v="94"/>
    <s v="2014-04-26T19:35:49Z"/>
  </r>
  <r>
    <s v="opf"/>
    <s v="OpenProject"/>
    <m/>
    <s v="Berlin"/>
    <s v="info@openproject.org"/>
    <x v="1"/>
    <m/>
    <n v="1"/>
    <n v="88"/>
    <n v="390"/>
    <n v="0"/>
    <s v="2012-05-20T12:56:12Z"/>
  </r>
  <r>
    <s v="adbar"/>
    <s v="Adrien Barbaresi"/>
    <s v="BERLIN-BRG. ACADEMY OF SCIENCES (BBAW)"/>
    <s v="Berlin"/>
    <m/>
    <x v="1"/>
    <s v="Research scientist â€“ natural language processing, web scraping and text analytics. Mostly with Python."/>
    <n v="14"/>
    <n v="26"/>
    <n v="389"/>
    <n v="269"/>
    <s v="2012-08-09T21:18:46Z"/>
  </r>
  <r>
    <s v="krother"/>
    <s v="Kristian Rother"/>
    <s v="ACADEMIS"/>
    <s v="Berlin, Germany"/>
    <s v="krother@academis.eu"/>
    <x v="0"/>
    <s v="Data Science Teacher &amp; Developer. Based in Berlin. Teaching Python since 2002. Wrote &quot;Pro Python Best Practices&quot; (APress)."/>
    <n v="18"/>
    <n v="81"/>
    <n v="388"/>
    <n v="27"/>
    <s v="2009-07-31T15:30:47Z"/>
  </r>
  <r>
    <s v="jpkrohling"/>
    <s v="Juraci PaixÃ£o KrÃ¶hling"/>
    <s v="GRAFANA LABS"/>
    <s v="Berlin, Germany"/>
    <s v="juraci.kroehling@grafana.com"/>
    <x v="1"/>
    <m/>
    <n v="1"/>
    <n v="393"/>
    <n v="388"/>
    <n v="38"/>
    <s v="2008-06-11T18:30:43Z"/>
  </r>
  <r>
    <s v="turian"/>
    <s v="Joseph Turian"/>
    <m/>
    <s v="Berlin + New York"/>
    <m/>
    <x v="1"/>
    <s v="Deep learning, NLP, audio AI ðŸ§‘â€ðŸ”¬_x000d__x000a__x000d__x000a_Postdoc under Bengio ðŸ§‘â€ðŸŽ“_x000d__x000a__x000d__x000a_ACL 10 Year Test of Time Award (lead author) ðŸŒŸ when art meets science... ðŸ‘©â€ðŸŽ¤"/>
    <n v="23"/>
    <n v="154"/>
    <n v="388"/>
    <n v="60"/>
    <s v="2009-03-23T03:08:08Z"/>
  </r>
  <r>
    <s v="fritzing"/>
    <s v="Fritzing"/>
    <m/>
    <s v="Berlin, Germany"/>
    <s v="info@fritzing.org"/>
    <x v="1"/>
    <s v="electronics made easy"/>
    <n v="3"/>
    <n v="17"/>
    <n v="386"/>
    <n v="0"/>
    <s v="2014-08-26T22:13:42Z"/>
  </r>
  <r>
    <s v="afuh"/>
    <s v="Axel Fuhrmann"/>
    <s v="UP42"/>
    <s v="Berlin"/>
    <m/>
    <x v="0"/>
    <m/>
    <n v="1"/>
    <n v="52"/>
    <n v="386"/>
    <n v="13"/>
    <s v="2017-01-17T09:47:08Z"/>
  </r>
  <r>
    <s v="prof18"/>
    <s v="Marco Gomiero"/>
    <s v="AIRALO"/>
    <s v="Berlin"/>
    <m/>
    <x v="1"/>
    <s v="Senior Android Developer @ Airalo â€¢ Kotlin Google Developer Expert â€¢ Android &amp; Kotlin Lover, fan of Kotlin Multiplatform"/>
    <n v="19"/>
    <n v="71"/>
    <n v="384"/>
    <n v="54"/>
    <s v="2014-10-30T18:32:43Z"/>
  </r>
  <r>
    <s v="ManiMozaffar"/>
    <s v="Mani Mozaffar"/>
    <s v="NOAH LABS"/>
    <s v="Berlin"/>
    <s v="mani.mozaffar@gmail.com"/>
    <x v="1"/>
    <m/>
    <n v="1"/>
    <n v="57"/>
    <n v="383"/>
    <n v="34"/>
    <s v="2021-07-04T10:59:37Z"/>
  </r>
  <r>
    <s v="timpritlove"/>
    <s v="Tim Pritlove"/>
    <s v="METAEBENE PERSONAL MEDIA"/>
    <s v="Berlin, Germany"/>
    <m/>
    <x v="1"/>
    <s v="Dedicated Podcaster. Professional Amateur. Discordian Evangelist._x000d__x000a__x000d__x000a_Catering to the public at @metaebene @podlove @blinkenlights "/>
    <n v="13"/>
    <n v="14"/>
    <n v="383"/>
    <n v="10"/>
    <s v="2009-08-26T11:05:05Z"/>
  </r>
  <r>
    <s v="andywer"/>
    <s v="Andy Wermke"/>
    <m/>
    <s v="Berlin, Germany"/>
    <m/>
    <x v="1"/>
    <s v="Engineer and co-founder. Node.js since 2011, React since 2014, Python, some Rust, C/C++/Java/Assembler/PHP earlier. Into #ai, #blockchain and #cryptography"/>
    <n v="19"/>
    <n v="102"/>
    <n v="382"/>
    <n v="28"/>
    <s v="2012-06-12T12:59:01Z"/>
  </r>
  <r>
    <s v="schriftgestalt"/>
    <s v="Georg Seifert"/>
    <s v="GLYPHSAPP GMBH"/>
    <s v="Berlin"/>
    <m/>
    <x v="1"/>
    <m/>
    <n v="1"/>
    <n v="195"/>
    <n v="382"/>
    <n v="0"/>
    <s v="2009-12-31T12:31:06Z"/>
  </r>
  <r>
    <s v="aksakalli"/>
    <s v="Can GÃ¼ney Aksakalli"/>
    <s v="ZALANDO EX @TOMTOM-INTERNATIONAL"/>
    <s v="Berlin, Germany"/>
    <s v="can.aksakalli@rwth-aachen.de"/>
    <x v="0"/>
    <m/>
    <n v="1"/>
    <n v="49"/>
    <n v="382"/>
    <n v="47"/>
    <s v="2012-07-08T18:52:42Z"/>
  </r>
  <r>
    <s v="MoeinDeveloper92"/>
    <s v="Moein"/>
    <m/>
    <s v="Germany-Berlin"/>
    <m/>
    <x v="1"/>
    <s v="MERN Stack Developer, and life long learner._x000d__x000a_Skills:_x000d__x000a_1:JavaScript_x000d__x000a_2:React/React-Native_x000d__x000a_3:MongoDB/Mongoose/SQL_x000d__x000a_5:NodeJs/Nestjs/API/RESTAPI_x000d__x000a_6:Security skill"/>
    <n v="8"/>
    <n v="73"/>
    <n v="381"/>
    <n v="1036"/>
    <s v="2022-06-21T19:30:56Z"/>
  </r>
  <r>
    <s v="cjolowicz"/>
    <s v="Claudio Jolowicz"/>
    <s v="CLOUDFLARE"/>
    <s v="Berlin, Germany"/>
    <m/>
    <x v="0"/>
    <m/>
    <n v="1"/>
    <n v="204"/>
    <n v="379"/>
    <n v="29"/>
    <s v="2011-03-06T13:41:22Z"/>
  </r>
  <r>
    <s v="StephanEwen"/>
    <s v="Stephan Ewen"/>
    <s v="RESTATE, APACHE FLINK"/>
    <s v="Berlin"/>
    <m/>
    <x v="1"/>
    <m/>
    <n v="1"/>
    <n v="12"/>
    <n v="378"/>
    <n v="0"/>
    <s v="2012-05-10T16:06:11Z"/>
  </r>
  <r>
    <s v="boennemann"/>
    <s v="Stephan BÃ¶nnemann-Walenta"/>
    <s v="PROSPERITY-TECH"/>
    <s v="Berlin, Europe"/>
    <s v="me@sbw.one"/>
    <x v="0"/>
    <s v="Co-CEO @prosperity-tech._x000d__x000a__x000d__x000a_Formerly @semantic-release, @conc-at, @greenkeeperio, @hoodiehq."/>
    <n v="6"/>
    <n v="62"/>
    <n v="377"/>
    <n v="44"/>
    <s v="2011-07-11T16:19:53Z"/>
  </r>
  <r>
    <s v="TheLartians"/>
    <s v="Lars Melchior"/>
    <m/>
    <s v="Berlin"/>
    <m/>
    <x v="1"/>
    <s v="Hey there! I'm a physicist, entrepreneur and full stack engineer based in Berlin."/>
    <n v="13"/>
    <n v="55"/>
    <n v="377"/>
    <n v="56"/>
    <s v="2013-05-15T12:15:54Z"/>
  </r>
  <r>
    <s v="ravanscafi"/>
    <s v="Ravan Scafi"/>
    <s v="HELLOFRESH"/>
    <s v="Berlin, Germany"/>
    <m/>
    <x v="1"/>
    <s v="backend engineer @hellofresh ~ organizer @laravelsp ~ evangelist @PHPSP_x000d__x000a_"/>
    <n v="9"/>
    <n v="16"/>
    <n v="377"/>
    <n v="125"/>
    <s v="2013-12-04T11:26:39Z"/>
  </r>
  <r>
    <s v="turbo"/>
    <s v="Pierre"/>
    <s v="GITHUB"/>
    <s v="Berlin, Germany"/>
    <s v="turbo@github.com"/>
    <x v="1"/>
    <s v="Product at @GitHub (CodeQL code scanning)"/>
    <n v="6"/>
    <n v="212"/>
    <n v="376"/>
    <n v="18"/>
    <s v="2014-06-30T07:05:19Z"/>
  </r>
  <r>
    <s v="guitmz"/>
    <s v="Guilherme"/>
    <s v="DEVSBB"/>
    <s v="Berlin"/>
    <s v="thomazi@linux.com"/>
    <x v="0"/>
    <s v="xor rsp, rsp"/>
    <n v="3"/>
    <n v="133"/>
    <n v="375"/>
    <n v="50"/>
    <s v="2013-05-29T14:16:38Z"/>
  </r>
  <r>
    <s v="gumb0"/>
    <s v="Andrei Maiboroda"/>
    <s v="ETHEREUM @IPSILON"/>
    <s v="Berlin, Germany"/>
    <m/>
    <x v="1"/>
    <m/>
    <n v="1"/>
    <n v="46"/>
    <n v="374"/>
    <n v="6"/>
    <s v="2012-06-18T15:06:52Z"/>
  </r>
  <r>
    <s v="squat"/>
    <s v="Lucas ServÃ©n MarÃ­n"/>
    <m/>
    <s v="Berlin"/>
    <m/>
    <x v="1"/>
    <s v="working on Kubernetes, Prometheus, and Thanos"/>
    <n v="6"/>
    <n v="141"/>
    <n v="373"/>
    <n v="18"/>
    <s v="2016-07-16T00:48:40Z"/>
  </r>
  <r>
    <s v="zubairehman"/>
    <s v="Zubair Rehman"/>
    <s v="CHOCO"/>
    <s v="Berlin"/>
    <s v="zubairehman.work@gmail.com"/>
    <x v="0"/>
    <s v="Android | Flutter Developer"/>
    <n v="4"/>
    <n v="121"/>
    <n v="373"/>
    <n v="6"/>
    <s v="2014-06-17T17:49:59Z"/>
  </r>
  <r>
    <s v="burnash"/>
    <s v="Anton Burnashev"/>
    <m/>
    <s v="Berlin"/>
    <m/>
    <x v="1"/>
    <m/>
    <n v="1"/>
    <n v="40"/>
    <n v="371"/>
    <n v="144"/>
    <s v="2010-05-04T16:00:14Z"/>
  </r>
  <r>
    <s v="lisacharlotterost"/>
    <s v="Lisa Charlotte Muth"/>
    <s v="DATAWRAPPER"/>
    <s v="Berlin, Germany"/>
    <s v="lisacharlotterost@gmail.com"/>
    <x v="1"/>
    <s v="Creating, blogging &amp; talking about data viz. #visber organizer. Interested in beauty. Fan of numbers, systems &amp; overviews. I believe in maps, not the territory."/>
    <n v="25"/>
    <n v="11"/>
    <n v="370"/>
    <n v="7"/>
    <s v="2014-10-24T09:32:15Z"/>
  </r>
  <r>
    <s v="TimDaub"/>
    <s v="Tim DaubenschÃ¼tz"/>
    <s v="ATTESTATE"/>
    <s v="Berlin"/>
    <s v="tim@daubenschuetz.de"/>
    <x v="0"/>
    <s v="I solidify things"/>
    <n v="3"/>
    <n v="189"/>
    <n v="370"/>
    <n v="0"/>
    <s v="2012-11-09T11:27:36Z"/>
  </r>
  <r>
    <s v="lgrammel"/>
    <s v="Lars Grammel"/>
    <s v="VERCEL"/>
    <s v="Berlin, Germany"/>
    <m/>
    <x v="1"/>
    <m/>
    <n v="1"/>
    <n v="83"/>
    <n v="370"/>
    <n v="33"/>
    <s v="2010-02-17T03:06:55Z"/>
  </r>
  <r>
    <s v="kkaefer"/>
    <s v="Konstantin KÃ¤fer"/>
    <s v="MAPBOX"/>
    <s v="Berlin, Germany"/>
    <s v="mail@kkaefer.com"/>
    <x v="1"/>
    <m/>
    <n v="1"/>
    <n v="94"/>
    <n v="369"/>
    <n v="30"/>
    <s v="2009-02-06T17:39:03Z"/>
  </r>
  <r>
    <s v="axsaucedo"/>
    <s v="Alejandro Saucedo"/>
    <s v="ETHICALML @ZALANDO"/>
    <s v="Berlin, Germany"/>
    <m/>
    <x v="0"/>
    <s v="@Zalando Director of Eng, Science, Product &amp; Analytics | Chair / Advisor at UN, ACM, LF, etc"/>
    <n v="17"/>
    <n v="190"/>
    <n v="369"/>
    <n v="43"/>
    <s v="2012-02-17T18:52:14Z"/>
  </r>
  <r>
    <s v="Skn0tt"/>
    <s v="Simon Knott"/>
    <s v="MICROSOFT"/>
    <s v="Berlin"/>
    <s v="info@simonknott.de"/>
    <x v="1"/>
    <s v="Working on Microsoft Playwright."/>
    <n v="4"/>
    <n v="193"/>
    <n v="367"/>
    <n v="126"/>
    <s v="2015-09-30T18:49:46Z"/>
  </r>
  <r>
    <s v="brauner"/>
    <s v="Christian Brauner"/>
    <m/>
    <s v="Berlin"/>
    <s v="christian@brauner.io"/>
    <x v="1"/>
    <s v="@lxc "/>
    <n v="1"/>
    <n v="80"/>
    <n v="367"/>
    <n v="47"/>
    <s v="2014-04-20T14:29:57Z"/>
  </r>
  <r>
    <s v="aap"/>
    <m/>
    <m/>
    <s v="Berlin"/>
    <m/>
    <x v="0"/>
    <s v="Retrocomputerist, Computer Scientist, ex-GTA hacker and Indo-Europeanist"/>
    <n v="7"/>
    <n v="54"/>
    <n v="367"/>
    <n v="23"/>
    <s v="2012-03-09T21:06:13Z"/>
  </r>
  <r>
    <s v="Fcmam5"/>
    <s v="Fortas Abdeldjalil"/>
    <m/>
    <s v="Berlin, Germany"/>
    <m/>
    <x v="0"/>
    <s v="A part-time Karantika lover"/>
    <n v="4"/>
    <n v="147"/>
    <n v="365"/>
    <n v="129"/>
    <s v="2014-10-08T18:44:57Z"/>
  </r>
  <r>
    <s v="juliuste"/>
    <s v="Julius Tens"/>
    <m/>
    <s v="Berlin, European Union"/>
    <s v="mail@juliustens.eu"/>
    <x v="1"/>
    <s v="Advocating for Open Data in public transportation._x000d__x000a__x000d__x000a_Currently not too responsive for personal reasons, I'm really sorry._x000d__x000a__x000d__x000a_Languages: ðŸ‡©ðŸ‡ªðŸ‡¬ðŸ‡§ðŸ‡«ðŸ‡·_x000d__x000a_he/they"/>
    <n v="17"/>
    <n v="141"/>
    <n v="364"/>
    <n v="64"/>
    <s v="2012-03-28T17:07:19Z"/>
  </r>
  <r>
    <s v="acao"/>
    <s v="Rikki Schulte"/>
    <m/>
    <s v="Berlin, DE"/>
    <m/>
    <x v="0"/>
    <s v=" ðŸ³ï¸â€ðŸŒˆ ðŸ³ï¸â€âš§ï¸ ðŸ§œðŸ»â€â™€ï¸_x000d__x000a__x000d__x000a_Available for consulting!"/>
    <n v="5"/>
    <n v="157"/>
    <n v="363"/>
    <n v="182"/>
    <s v="2012-01-22T20:15:24Z"/>
  </r>
  <r>
    <s v="mrtazz"/>
    <s v="Daniel Schauenberg"/>
    <s v="GITHUB"/>
    <s v="Berlin"/>
    <s v="mrtazz@github.com"/>
    <x v="1"/>
    <s v="a cheap trick and a cheesy one-liner. computer person. owner @ my opinions. feminist"/>
    <n v="14"/>
    <n v="105"/>
    <n v="362"/>
    <n v="46"/>
    <s v="2009-03-28T17:06:12Z"/>
  </r>
  <r>
    <s v="weaveworks"/>
    <s v="Weaveworks"/>
    <m/>
    <s v="London, Berlin, NY, Colorado, SF, Remote"/>
    <m/>
    <x v="1"/>
    <s v="weaving containers into applications"/>
    <n v="4"/>
    <n v="146"/>
    <n v="362"/>
    <n v="0"/>
    <s v="2014-11-27T11:49:24Z"/>
  </r>
  <r>
    <s v="cloudpanel-io"/>
    <m/>
    <s v="MGT-COMMERCE GMBH"/>
    <s v="Berlin"/>
    <m/>
    <x v="1"/>
    <m/>
    <n v="1"/>
    <n v="14"/>
    <n v="362"/>
    <n v="0"/>
    <s v="2019-08-08T11:51:48Z"/>
  </r>
  <r>
    <s v="fehmicansaglam"/>
    <s v="Fehmi Can SaÄŸlam"/>
    <s v="TRENDYOL"/>
    <s v="Berlin, Germany"/>
    <s v="fehmican.saglam@gmail.com"/>
    <x v="1"/>
    <s v="Coder."/>
    <n v="1"/>
    <n v="64"/>
    <n v="361"/>
    <n v="64"/>
    <s v="2010-10-20T00:21:12Z"/>
  </r>
  <r>
    <s v="runningcode"/>
    <s v="Nelson Osacky"/>
    <s v="GRADLE"/>
    <s v="Berlin"/>
    <m/>
    <x v="0"/>
    <m/>
    <n v="1"/>
    <n v="166"/>
    <n v="361"/>
    <n v="61"/>
    <s v="2010-07-15T02:53:25Z"/>
  </r>
  <r>
    <s v="whoenig"/>
    <s v="Wolfgang HÃ¶nig"/>
    <s v="TECHNICAL UNIVERSITY BERLIN"/>
    <s v="Berlin, Germany"/>
    <m/>
    <x v="1"/>
    <m/>
    <n v="1"/>
    <n v="42"/>
    <n v="361"/>
    <n v="2"/>
    <s v="2013-02-16T21:42:32Z"/>
  </r>
  <r>
    <s v="baptistebriel"/>
    <s v="Baptiste Briel"/>
    <s v="CREATIVE DEVELOPER"/>
    <s v="amsterdam / berlin"/>
    <m/>
    <x v="0"/>
    <m/>
    <n v="1"/>
    <n v="13"/>
    <n v="358"/>
    <n v="210"/>
    <s v="2012-10-01T15:26:58Z"/>
  </r>
  <r>
    <s v="fortmarek"/>
    <s v="Marek FoÅ™t"/>
    <s v="TUIST"/>
    <s v="Berlin, Germany"/>
    <s v="marekfort@me.com"/>
    <x v="0"/>
    <m/>
    <n v="1"/>
    <n v="89"/>
    <n v="357"/>
    <n v="212"/>
    <s v="2014-10-23T19:48:33Z"/>
  </r>
  <r>
    <s v="laramartin"/>
    <s v="Lara Martin"/>
    <m/>
    <s v="Berlin"/>
    <m/>
    <x v="0"/>
    <s v="Android Developer Â· Queen of Code Deprecation"/>
    <n v="7"/>
    <n v="78"/>
    <n v="357"/>
    <n v="16"/>
    <s v="2015-08-21T13:51:35Z"/>
  </r>
  <r>
    <s v="ashiishme"/>
    <s v="Ashish Yadav"/>
    <s v="JUSTEATTAKEAWAY"/>
    <s v="Berlin, Germany"/>
    <m/>
    <x v="0"/>
    <s v="ðŸ‘¨â€ðŸ’» Software Engineer @ JustEatTakeaway.com | Open Source "/>
    <n v="8"/>
    <n v="96"/>
    <n v="357"/>
    <n v="17"/>
    <s v="2016-03-28T07:29:13Z"/>
  </r>
  <r>
    <s v="MarkusH"/>
    <s v="Markus Holtermann"/>
    <m/>
    <s v="Berlin"/>
    <m/>
    <x v="1"/>
    <s v="@django Core Developer, @djangocon Australia 2018-2020 organizer, @EuroPython 2014 organizer, TU Berlin Alumni"/>
    <n v="13"/>
    <n v="117"/>
    <n v="356"/>
    <n v="20"/>
    <s v="2010-11-10T12:13:13Z"/>
  </r>
  <r>
    <s v="jhass"/>
    <s v="Jonne HaÃŸ"/>
    <m/>
    <s v="Berlin, Germany"/>
    <s v="me@jhass.eu"/>
    <x v="1"/>
    <m/>
    <n v="1"/>
    <n v="79"/>
    <n v="356"/>
    <n v="48"/>
    <s v="2009-10-18T14:00:48Z"/>
  </r>
  <r>
    <s v="imskr"/>
    <s v="Shubham Kumar"/>
    <s v="GITLAB"/>
    <s v="Berlin, Germany"/>
    <s v="hello@shubham-kumar.com"/>
    <x v="0"/>
    <s v="Backend Engineer at GitLab | GSoC 2021 @gitlabhq and GSoC 2020 @mozilla"/>
    <n v="12"/>
    <n v="108"/>
    <n v="356"/>
    <n v="10"/>
    <s v="2018-08-03T09:39:56Z"/>
  </r>
  <r>
    <s v="soundcloud"/>
    <s v="SoundCloud"/>
    <m/>
    <s v="Berlin, Germany"/>
    <m/>
    <x v="1"/>
    <m/>
    <n v="1"/>
    <n v="57"/>
    <n v="355"/>
    <n v="0"/>
    <s v="2008-08-18T14:13:13Z"/>
  </r>
  <r>
    <s v="RomelTorres"/>
    <s v="Romel Torres"/>
    <s v="MBITION (MERCEDES BENZ INNOVATION LAB)"/>
    <s v="Berlin, Germany"/>
    <m/>
    <x v="0"/>
    <s v="I am Msc. in Embedded Computing Systems who loves Open Source. My interests are NLP, Voice Assistants, Open QA systems and Embedded Linux"/>
    <n v="23"/>
    <n v="29"/>
    <n v="353"/>
    <n v="31"/>
    <s v="2012-02-09T19:34:16Z"/>
  </r>
  <r>
    <s v="andela-sjames"/>
    <s v="samuelvarejames"/>
    <s v="ELATEC GMBH"/>
    <s v="Berlin, Germany"/>
    <s v="samuelvarejames@gmail.com"/>
    <x v="0"/>
    <s v="Full-Stack Software Engineer."/>
    <n v="3"/>
    <n v="76"/>
    <n v="353"/>
    <n v="68"/>
    <s v="2015-07-08T07:42:30Z"/>
  </r>
  <r>
    <s v="chrisguttandin"/>
    <s v="Christoph Guttandin"/>
    <m/>
    <s v="Berlin"/>
    <m/>
    <x v="0"/>
    <m/>
    <n v="1"/>
    <n v="132"/>
    <n v="352"/>
    <n v="10"/>
    <s v="2009-11-26T07:36:51Z"/>
  </r>
  <r>
    <s v="jamiehannaford"/>
    <s v="Jamie Hannaford"/>
    <s v="GITHUB"/>
    <s v="Berlin"/>
    <m/>
    <x v="1"/>
    <m/>
    <n v="1"/>
    <n v="99"/>
    <n v="352"/>
    <n v="5"/>
    <s v="2012-06-19T11:13:53Z"/>
  </r>
  <r>
    <s v="laf0rge"/>
    <s v="Harald Welte"/>
    <s v="SYSMOCOM"/>
    <s v="Berlin, Germany"/>
    <s v="laforge@gnumonks.org"/>
    <x v="1"/>
    <s v="ex-netfilter, ex-Linux-Kernel, ex-Openmoko, founder of @osmocom , OpenBSC, OsmocomBB and other FOSS for cellular communications."/>
    <n v="15"/>
    <n v="36"/>
    <n v="351"/>
    <n v="78"/>
    <s v="2011-12-08T16:21:19Z"/>
  </r>
  <r>
    <s v="Pisush"/>
    <s v="Natalie"/>
    <m/>
    <s v="Berlin"/>
    <m/>
    <x v="0"/>
    <m/>
    <n v="1"/>
    <n v="41"/>
    <n v="351"/>
    <n v="0"/>
    <s v="2014-05-15T13:07:11Z"/>
  </r>
  <r>
    <s v="ym"/>
    <s v="Aveline"/>
    <s v="MISAKAIO"/>
    <s v="Berlin, Germany"/>
    <s v="g@xswan.net"/>
    <x v="1"/>
    <s v="Too young too simple, sometimes naÃ¯ve."/>
    <n v="6"/>
    <n v="161"/>
    <n v="350"/>
    <n v="155"/>
    <s v="2010-08-03T05:32:05Z"/>
  </r>
  <r>
    <s v="MichaelKreil"/>
    <s v="Michael Kreil"/>
    <m/>
    <s v="Berlin"/>
    <s v="github_contact@michael-kreil.de"/>
    <x v="0"/>
    <s v="data journalist"/>
    <n v="2"/>
    <n v="121"/>
    <n v="350"/>
    <n v="120"/>
    <s v="2011-08-26T18:46:51Z"/>
  </r>
  <r>
    <s v="perusio"/>
    <s v="AntÃ³nio P. P. Almeida"/>
    <s v="UP42"/>
    <s v="Berlin, Germany"/>
    <m/>
    <x v="0"/>
    <s v="Information Security Manager at UP42 GmbH"/>
    <n v="6"/>
    <n v="135"/>
    <n v="347"/>
    <n v="10"/>
    <s v="2008-12-11T04:02:53Z"/>
  </r>
  <r>
    <s v="alexbeletsky"/>
    <s v="Alexander Beletsky"/>
    <s v="BLOGFOSTER, @SOCIALSEARCHIO"/>
    <s v="Berlin, Germany"/>
    <s v="alexander.beletsky@gmail.com"/>
    <x v="1"/>
    <m/>
    <n v="1"/>
    <n v="133"/>
    <n v="345"/>
    <n v="185"/>
    <s v="2010-06-14T15:26:52Z"/>
  </r>
  <r>
    <s v="marcinguy"/>
    <s v="Marcin Kozlowski"/>
    <m/>
    <s v="Berlin, Germany"/>
    <s v="marcinguy@gmail.com"/>
    <x v="1"/>
    <s v="IT"/>
    <n v="1"/>
    <n v="19"/>
    <n v="345"/>
    <n v="70"/>
    <s v="2016-07-08T11:14:01Z"/>
  </r>
  <r>
    <s v="martinklepsch"/>
    <s v="Martin Klepsch"/>
    <m/>
    <s v="Berlin"/>
    <s v="martinklepsch@googlemail.com"/>
    <x v="1"/>
    <m/>
    <n v="1"/>
    <n v="251"/>
    <n v="344"/>
    <n v="47"/>
    <s v="2009-06-21T11:06:13Z"/>
  </r>
  <r>
    <s v="janeczku"/>
    <s v="Jan B"/>
    <s v="RANCHER"/>
    <s v="Berlin, DE"/>
    <m/>
    <x v="1"/>
    <m/>
    <n v="1"/>
    <n v="185"/>
    <n v="342"/>
    <n v="5"/>
    <s v="2013-03-09T01:09:46Z"/>
  </r>
  <r>
    <s v="fractaledmind"/>
    <s v="Stephen Margheim"/>
    <m/>
    <s v="Berlin, Germany"/>
    <s v="stephen.margheim@gmail.com"/>
    <x v="1"/>
    <s v="Hey, Iâ€™m Stephen. I'm an American expat living in Berlin with my wife and two dogs. I am a contributor to Rails and the sqlite3-ruby gem as well as the maintain"/>
    <n v="31"/>
    <n v="105"/>
    <n v="342"/>
    <n v="23"/>
    <s v="2013-07-24T00:32:35Z"/>
  </r>
  <r>
    <s v="manojpandey"/>
    <s v="Manoj Pandey"/>
    <s v="SELF-EMPLOYED"/>
    <s v="Berlin, Germany"/>
    <s v="manojpandey1996@gmail.com"/>
    <x v="0"/>
    <s v="Currently: null;_x000d__x000a_Prev: Plan A, @instana/@IBM @celeraone @Yelp @andrepeat @squadstack / Founder &amp; Organizer @pydatadelhi /_x000d__x000a_Developer with a knack for Design"/>
    <n v="20"/>
    <n v="134"/>
    <n v="341"/>
    <n v="92"/>
    <s v="2013-06-20T15:25:22Z"/>
  </r>
  <r>
    <s v="doctolib"/>
    <s v="Doctolib"/>
    <m/>
    <s v="Paris, Berlin"/>
    <m/>
    <x v="1"/>
    <s v="Our mission is to contribute to transforming healthcare with an innovative approach. Learn more about our engineering team on our career page."/>
    <n v="22"/>
    <n v="55"/>
    <n v="341"/>
    <n v="0"/>
    <s v="2013-10-31T14:17:39Z"/>
  </r>
  <r>
    <s v="fineanmol"/>
    <s v="ANMOL AGARWAL"/>
    <m/>
    <s v="Berlin, Germany"/>
    <m/>
    <x v="0"/>
    <s v="React Developer ðŸ’» || JS Lover â¤ï¸ || Python Scripter  || I love building software, contributing to open source projects and tinkering with new ideas."/>
    <n v="25"/>
    <n v="122"/>
    <n v="340"/>
    <n v="44"/>
    <s v="2016-12-27T14:53:34Z"/>
  </r>
  <r>
    <s v="gorgos"/>
    <s v="Markus Waas"/>
    <s v="INJECTIVELABS"/>
    <s v="Berlin, Germany / Auckland, New Zealand"/>
    <s v="mail@markuswaas.com"/>
    <x v="1"/>
    <s v="Solidity / Blockchain Engineer"/>
    <n v="4"/>
    <n v="42"/>
    <n v="338"/>
    <n v="7"/>
    <s v="2011-03-09T08:14:25Z"/>
  </r>
  <r>
    <s v="traumverloren"/>
    <s v="Stephanie"/>
    <m/>
    <s v="Berlin, Germany"/>
    <m/>
    <x v="1"/>
    <s v="I ðŸ’– building weird stuff w/ LEDs, raspberry pi, arduinos âš¡ï¸ i speak at tech confs sometimes. âœ¨ proudly adhd/neurodivergent"/>
    <n v="20"/>
    <n v="149"/>
    <n v="338"/>
    <n v="54"/>
    <s v="2014-11-26T08:17:41Z"/>
  </r>
  <r>
    <s v="syllog1sm"/>
    <s v="Matthew Honnibal"/>
    <s v="FOUNDER @EXPLOSION"/>
    <s v="Berlin, Germany"/>
    <s v="honnibal@gmail.com"/>
    <x v="1"/>
    <s v="My main profile is @honnibal"/>
    <n v="5"/>
    <n v="19"/>
    <n v="338"/>
    <n v="1"/>
    <s v="2011-05-11T10:02:02Z"/>
  </r>
  <r>
    <s v="jackschaedler"/>
    <s v="Jack Schaedler"/>
    <m/>
    <s v="Berlin"/>
    <s v="jwschaedler@gmail.com"/>
    <x v="1"/>
    <m/>
    <n v="1"/>
    <n v="12"/>
    <n v="337"/>
    <n v="7"/>
    <s v="2010-08-16T03:51:32Z"/>
  </r>
  <r>
    <s v="dirkschumacher"/>
    <s v="Dirk Schumacher"/>
    <m/>
    <s v="Berlin"/>
    <s v="mail@dirk-schumacher.net"/>
    <x v="1"/>
    <m/>
    <n v="1"/>
    <n v="157"/>
    <n v="336"/>
    <n v="65"/>
    <s v="2012-03-23T22:06:49Z"/>
  </r>
  <r>
    <s v="ngoduykhanh"/>
    <s v="Khanh Ngo"/>
    <m/>
    <s v="Berlin, Germany"/>
    <s v="k@ndk.name"/>
    <x v="1"/>
    <m/>
    <n v="1"/>
    <n v="33"/>
    <n v="335"/>
    <n v="12"/>
    <s v="2014-01-20T05:06:06Z"/>
  </r>
  <r>
    <s v="sdepold"/>
    <s v="Sascha Depold"/>
    <s v="EBAY GMBH"/>
    <s v="Berlin"/>
    <m/>
    <x v="1"/>
    <m/>
    <n v="1"/>
    <n v="204"/>
    <n v="333"/>
    <n v="16"/>
    <s v="2009-04-29T13:39:42Z"/>
  </r>
  <r>
    <s v="smurawski"/>
    <s v="Steven Murawski"/>
    <s v="MICROSOFT @AZURE"/>
    <s v="New Berlin, WI"/>
    <s v="steven.murawski@microsoft.com"/>
    <x v="1"/>
    <s v="Principal Cloud Advocate at Microsoft"/>
    <n v="5"/>
    <n v="83"/>
    <n v="333"/>
    <n v="29"/>
    <s v="2013-03-29T16:29:23Z"/>
  </r>
  <r>
    <s v="woachk"/>
    <m/>
    <s v="AWS, @CHECKRA1N"/>
    <s v="Berlin, Germany"/>
    <m/>
    <x v="1"/>
    <s v="Kernel/hypervisor engineer, Amazon EC2."/>
    <n v="4"/>
    <n v="52"/>
    <n v="332"/>
    <n v="1"/>
    <s v="2016-12-24T12:18:23Z"/>
  </r>
  <r>
    <s v="Kardelio"/>
    <s v="Benjamin Kadel"/>
    <s v="BABBEL"/>
    <s v="Berlin"/>
    <m/>
    <x v="1"/>
    <s v="Senior Android Developer working in Berlin (DE) with an aspiring Tech/Dev YouTube Channel_x000d__x000a__x000d__x000a_"/>
    <n v="13"/>
    <n v="84"/>
    <n v="331"/>
    <n v="141"/>
    <s v="2015-01-14T00:05:24Z"/>
  </r>
  <r>
    <s v="marimeireles"/>
    <s v="Mariana Meireles"/>
    <s v="MPIEVOLBIO-SCICOMP"/>
    <s v="berlin"/>
    <s v="marianameireles@protonmail.com"/>
    <x v="0"/>
    <s v=":octocat: octocatnaut &amp; opensourcerer ðŸ§™ðŸ¼â€â™€ï¸"/>
    <n v="5"/>
    <n v="186"/>
    <n v="329"/>
    <n v="115"/>
    <s v="2016-03-02T19:33:30Z"/>
  </r>
  <r>
    <s v="pauladiniz"/>
    <s v="Paula Diniz"/>
    <s v="COLONIA TECH"/>
    <s v="Berlin"/>
    <s v="bomdiapaulaa@gmail.com"/>
    <x v="0"/>
    <s v="I develop stuff with Javascript for food and fun. "/>
    <n v="9"/>
    <n v="61"/>
    <n v="329"/>
    <n v="136"/>
    <s v="2016-05-18T16:50:07Z"/>
  </r>
  <r>
    <s v="coderobe"/>
    <s v="Mara Robin B."/>
    <s v="ARCHLINUX, EX-@PARITYTECH"/>
    <s v="Berlin, Germany"/>
    <m/>
    <x v="1"/>
    <s v="i put on my robe and wizard hatâ€"/>
    <n v="8"/>
    <n v="146"/>
    <n v="327"/>
    <n v="270"/>
    <s v="2014-08-13T20:47:22Z"/>
  </r>
  <r>
    <s v="CesarValiente"/>
    <s v="Cesar Valiente Gordo"/>
    <s v="MICROSOFT"/>
    <s v="Berlin, Germany"/>
    <m/>
    <x v="1"/>
    <s v="Android @microsoft "/>
    <n v="2"/>
    <n v="62"/>
    <n v="326"/>
    <n v="35"/>
    <s v="2011-09-14T16:29:45Z"/>
  </r>
  <r>
    <s v="jdennes"/>
    <s v="James Dennes"/>
    <m/>
    <s v="Berlin, Germany"/>
    <m/>
    <x v="0"/>
    <m/>
    <n v="1"/>
    <n v="57"/>
    <n v="326"/>
    <n v="8"/>
    <s v="2009-03-19T22:11:12Z"/>
  </r>
  <r>
    <s v="abdulfatir"/>
    <s v="Abdul Fatir"/>
    <s v="AMAZON WEB SERVICES"/>
    <s v="Berlin"/>
    <s v="Abdulfatirs@gmail.com"/>
    <x v="0"/>
    <s v="Applied Scientist, @aws"/>
    <n v="3"/>
    <n v="59"/>
    <n v="326"/>
    <n v="8"/>
    <s v="2013-04-01T17:46:52Z"/>
  </r>
  <r>
    <s v="htbkoo"/>
    <s v="htbkoo"/>
    <m/>
    <s v="Berlin, Germany"/>
    <m/>
    <x v="0"/>
    <s v="Software engineer"/>
    <n v="2"/>
    <n v="282"/>
    <n v="326"/>
    <n v="856"/>
    <s v="2015-03-21T03:34:26Z"/>
  </r>
  <r>
    <s v="carolstran"/>
    <s v="Carolyn Stransky"/>
    <s v="EMNIFY"/>
    <s v="Berlin"/>
    <s v="hello@workwithcarolyn.com"/>
    <x v="1"/>
    <s v="ðŸŒ±ðŸ‘©ðŸ¼â€ðŸ’» Reluctant frontend engineer focused on accessibility, documentation, and design systems."/>
    <n v="11"/>
    <n v="26"/>
    <n v="325"/>
    <n v="2"/>
    <s v="2017-04-03T10:11:10Z"/>
  </r>
  <r>
    <s v="spicedacademy"/>
    <s v="Spiced Academy"/>
    <s v="SPICED EDUCATION GMBH"/>
    <s v="Mariendorfer Damm 1, 12099 Berlin"/>
    <m/>
    <x v="1"/>
    <m/>
    <n v="1"/>
    <n v="7"/>
    <n v="325"/>
    <n v="3"/>
    <s v="2016-07-11T14:14:02Z"/>
  </r>
  <r>
    <s v="bluemix"/>
    <s v="Abdulmomen Bsruki"/>
    <m/>
    <s v="Berlin"/>
    <s v="a.bluemix@gmail.com"/>
    <x v="1"/>
    <s v="programming machines"/>
    <n v="2"/>
    <n v="105"/>
    <n v="324"/>
    <n v="1123"/>
    <s v="2013-01-21T20:10:46Z"/>
  </r>
  <r>
    <s v="janlelis"/>
    <s v="Jan Lelis"/>
    <m/>
    <s v="Berlin"/>
    <s v="hi@ruby.consulting"/>
    <x v="1"/>
    <m/>
    <n v="1"/>
    <n v="127"/>
    <n v="324"/>
    <n v="210"/>
    <s v="2009-08-03T17:41:50Z"/>
  </r>
  <r>
    <s v="andydandy74"/>
    <s v="Andreas Dieckmann"/>
    <s v="BADMONKEYSTEAM"/>
    <s v="Berlin, Germany"/>
    <m/>
    <x v="1"/>
    <m/>
    <n v="1"/>
    <n v="6"/>
    <n v="324"/>
    <n v="26"/>
    <s v="2012-12-11T07:57:19Z"/>
  </r>
  <r>
    <s v="zoepage"/>
    <s v="Ola Gasidlo-BrÃ¤ndel"/>
    <s v="SINNERSCHRADER @ACCENTURE"/>
    <s v="Berlin"/>
    <m/>
    <x v="1"/>
    <s v="Senior Principal Software Engineer at Accenture Song"/>
    <n v="7"/>
    <n v="33"/>
    <n v="324"/>
    <n v="77"/>
    <s v="2011-01-13T09:34:21Z"/>
  </r>
  <r>
    <s v="aqrln"/>
    <s v="Alexey Orlenko"/>
    <s v="PRISMA"/>
    <s v="Berlin, Germany"/>
    <s v="alex@aqrln.net"/>
    <x v="1"/>
    <m/>
    <n v="1"/>
    <n v="75"/>
    <n v="323"/>
    <n v="255"/>
    <s v="2013-07-02T17:35:35Z"/>
  </r>
  <r>
    <s v="JustinShenk"/>
    <s v="Justin Shenk"/>
    <s v="SIMERSETEAM"/>
    <s v="Berlin, Germany"/>
    <s v="shenk.justin@gmail.com"/>
    <x v="1"/>
    <s v="Founder of @VisioLab, @traja-team and @delve-team"/>
    <n v="6"/>
    <n v="82"/>
    <n v="322"/>
    <n v="2034"/>
    <s v="2014-12-22T13:46:54Z"/>
  </r>
  <r>
    <s v="mwarning"/>
    <s v="Moritz Warning"/>
    <m/>
    <s v="Berlin"/>
    <s v="moritzwarning@web.de"/>
    <x v="0"/>
    <s v="Mesh Routing Algorithm Enthusiast"/>
    <n v="4"/>
    <n v="58"/>
    <n v="321"/>
    <n v="5"/>
    <s v="2011-01-03T23:04:48Z"/>
  </r>
  <r>
    <s v="gkmngrgn"/>
    <s v="GÃ¶kmen GÃ¶rgen"/>
    <s v="MIMIHEARINGTECHNOLOGIES"/>
    <s v="Berlin"/>
    <s v="gkmngrgn@gmail.com"/>
    <x v="0"/>
    <s v="OS-agnostic Polyglot Programmer and Bassist ðŸŽ¶ _x000d__x000a_#python #rust #go #typescript"/>
    <n v="10"/>
    <n v="14"/>
    <n v="321"/>
    <n v="8"/>
    <s v="2009-04-10T01:11:30Z"/>
  </r>
  <r>
    <s v="tssovi"/>
    <s v="Tusamma Sal Sabil"/>
    <s v="ALIGN TECHNOLOGY"/>
    <s v="Berlin"/>
    <s v="t.s.s.ovi@gmail.com"/>
    <x v="0"/>
    <s v=" â… Backend Developer â… AI Enthusiast â… Algorithm Learner â… Passionate Problem Solver â… Tech Savvy â…"/>
    <n v="17"/>
    <n v="46"/>
    <n v="321"/>
    <n v="0"/>
    <s v="2014-05-14T02:21:54Z"/>
  </r>
  <r>
    <s v="brunagil"/>
    <s v="Bruna Gil "/>
    <m/>
    <s v="Berlin"/>
    <m/>
    <x v="0"/>
    <s v="Front end engineer  / JavaScript lover_x000d__x000a_"/>
    <n v="6"/>
    <n v="60"/>
    <n v="321"/>
    <n v="121"/>
    <s v="2018-08-13T19:13:38Z"/>
  </r>
  <r>
    <s v="IliaKani"/>
    <s v="Ilia"/>
    <m/>
    <s v="Berlin"/>
    <m/>
    <x v="1"/>
    <s v="Front-End Web Developer | HTML/CSS &amp; JavaScript (React)"/>
    <n v="8"/>
    <n v="16"/>
    <n v="317"/>
    <n v="330"/>
    <s v="2023-10-04T13:26:25Z"/>
  </r>
  <r>
    <s v="mmourafiq"/>
    <s v="Mourad"/>
    <m/>
    <s v="Berlin, Germany"/>
    <m/>
    <x v="0"/>
    <m/>
    <n v="1"/>
    <n v="95"/>
    <n v="316"/>
    <n v="1"/>
    <s v="2011-12-13T23:14:31Z"/>
  </r>
  <r>
    <s v="nikku"/>
    <s v="Nico Rehwaldt"/>
    <m/>
    <s v="Berlin, Germany"/>
    <m/>
    <x v="0"/>
    <m/>
    <n v="1"/>
    <n v="138"/>
    <n v="315"/>
    <n v="4"/>
    <s v="2009-02-27T16:42:37Z"/>
  </r>
  <r>
    <s v="deanm"/>
    <s v="Dean McNamee"/>
    <m/>
    <s v="Berlin, Germany"/>
    <m/>
    <x v="1"/>
    <m/>
    <n v="1"/>
    <n v="42"/>
    <n v="314"/>
    <n v="2"/>
    <s v="2009-02-21T13:24:32Z"/>
  </r>
  <r>
    <s v="thejonanshow"/>
    <s v="Jonan Scheffler"/>
    <s v="DXOS"/>
    <s v="Berlin, DE"/>
    <s v="jonanscheffler@gmail.com"/>
    <x v="1"/>
    <s v="Head of Developer Relations at DXOS.org."/>
    <n v="6"/>
    <n v="197"/>
    <n v="313"/>
    <n v="33"/>
    <s v="2010-05-07T20:33:27Z"/>
  </r>
  <r>
    <s v="cmaureir"/>
    <s v="CristiÃ¡n Maureira-Fredes"/>
    <s v="THE QT COMPANY"/>
    <s v="Berlin, Germany"/>
    <m/>
    <x v="0"/>
    <s v="Team Lead at The Qt Company | @pyside maintainer | @psf Fellow &amp; Board Director | @pypa moderator | former Astrophysicist._x000d__x000a_"/>
    <n v="21"/>
    <n v="141"/>
    <n v="312"/>
    <n v="71"/>
    <s v="2010-01-07T14:40:04Z"/>
  </r>
  <r>
    <s v="discordianfish"/>
    <s v="Johannes 'fish' Ziemke"/>
    <m/>
    <s v="Berlin"/>
    <m/>
    <x v="0"/>
    <s v="Freelance Cloud Native Consultant, Founder of @prometheus node_exporter._x000d__x000a__x000d__x000a_"/>
    <n v="8"/>
    <n v="268"/>
    <n v="312"/>
    <n v="16"/>
    <s v="2010-05-13T21:45:23Z"/>
  </r>
  <r>
    <s v="seiflotfy"/>
    <s v="Seif Lotfy"/>
    <s v="AXIOMHQ"/>
    <s v="Berlin, Germany"/>
    <s v="me@seif.codes"/>
    <x v="0"/>
    <s v="_x000d__x000a_    eat, sleep, &lt;code&gt;, repeat_x000d__x000a_"/>
    <n v="5"/>
    <n v="68"/>
    <n v="311"/>
    <n v="79"/>
    <s v="2009-08-21T09:57:57Z"/>
  </r>
  <r>
    <s v="yjs"/>
    <s v="Yjs"/>
    <m/>
    <s v="Germany, Berlin"/>
    <s v="kevin.jahns@protonmail.com"/>
    <x v="1"/>
    <s v="Shared Editing"/>
    <n v="2"/>
    <n v="28"/>
    <n v="309"/>
    <n v="0"/>
    <s v="2018-11-14T15:33:35Z"/>
  </r>
  <r>
    <s v="larsxschneider"/>
    <s v="Lars Schneider"/>
    <m/>
    <s v="Berlin, Germany"/>
    <m/>
    <x v="1"/>
    <s v="Kiteboarder, hiker, engineer @GitHub."/>
    <n v="4"/>
    <n v="87"/>
    <n v="307"/>
    <n v="27"/>
    <s v="2010-11-11T14:43:36Z"/>
  </r>
  <r>
    <s v="zalandoresearch"/>
    <s v="Zalando Research"/>
    <m/>
    <s v="Berlin, Germany"/>
    <s v="research@zalando.de"/>
    <x v="1"/>
    <s v="Repositories of the research branch of Zalando SE"/>
    <n v="8"/>
    <n v="26"/>
    <n v="307"/>
    <n v="0"/>
    <s v="2017-08-09T14:20:58Z"/>
  </r>
  <r>
    <s v="mindreframer"/>
    <s v="Roman Heinrich"/>
    <m/>
    <s v="Germany, Berlin"/>
    <m/>
    <x v="0"/>
    <s v="Golang / Elixir / Ruby / Clojure / React.js / Devops"/>
    <n v="11"/>
    <n v="303"/>
    <n v="307"/>
    <n v="310"/>
    <s v="2008-02-27T22:51:13Z"/>
  </r>
  <r>
    <s v="yomete"/>
    <s v="Yomi Eluwande"/>
    <m/>
    <s v="Berlin"/>
    <s v="yomi.eluwande@gmail.com"/>
    <x v="1"/>
    <m/>
    <n v="1"/>
    <n v="90"/>
    <n v="306"/>
    <n v="119"/>
    <s v="2014-10-04T09:18:19Z"/>
  </r>
  <r>
    <s v="johnjohndoe"/>
    <s v="Tobias Preuss"/>
    <m/>
    <s v="Berlin, Germany"/>
    <m/>
    <x v="0"/>
    <s v="I ðŸ’Ÿ open source. @EventFahrplan maintainer, @Umweltzone maintainer"/>
    <n v="8"/>
    <n v="382"/>
    <n v="305"/>
    <n v="75"/>
    <s v="2009-10-25T19:58:19Z"/>
  </r>
  <r>
    <s v="felipecruz"/>
    <s v="Felipe Cruz"/>
    <m/>
    <s v="Berlin, Germany"/>
    <s v="felipecruz@gmail.com"/>
    <x v="1"/>
    <s v="{CS, ML, DS}"/>
    <n v="3"/>
    <n v="34"/>
    <n v="305"/>
    <n v="127"/>
    <s v="2009-05-14T17:23:59Z"/>
  </r>
  <r>
    <s v="missinglink"/>
    <s v="Peter Johnson"/>
    <s v="GEOCODEEARTH, @PELIAS"/>
    <s v="Berlin"/>
    <m/>
    <x v="1"/>
    <s v="Building open-source Geocoding/GIS software since 2014. Kiwi. Father. Founder @pelias, @geocodeearth. Previously at @mapzen"/>
    <n v="14"/>
    <n v="253"/>
    <n v="304"/>
    <n v="300"/>
    <s v="2011-04-19T02:28:16Z"/>
  </r>
  <r>
    <s v="Victoriapm"/>
    <s v="Victoria Perez Mola"/>
    <s v="ORGANIDATA"/>
    <s v="Berlin"/>
    <m/>
    <x v="0"/>
    <s v="Highly caffeinated analytics engineer, if you need to dig a database you have my attention. _x000d__x000a__x000d__x000a_EnseÃ±o lo que se de datos en organidata.github.io"/>
    <n v="23"/>
    <n v="43"/>
    <n v="304"/>
    <n v="28"/>
    <s v="2013-05-01T22:34:12Z"/>
  </r>
  <r>
    <s v="lourot"/>
    <s v="AurÃ©lien Lourot"/>
    <m/>
    <s v="Berlin, Germany"/>
    <s v="software@lourot.dev"/>
    <x v="1"/>
    <s v="Software developer"/>
    <n v="2"/>
    <n v="56"/>
    <n v="304"/>
    <n v="597"/>
    <s v="2015-04-04T09:08:20Z"/>
  </r>
  <r>
    <s v="janober"/>
    <s v="Jan Oberhauser"/>
    <s v="N8N.IO"/>
    <s v="Berlin, Germany"/>
    <m/>
    <x v="1"/>
    <m/>
    <n v="1"/>
    <n v="26"/>
    <n v="303"/>
    <n v="1"/>
    <s v="2013-12-23T19:53:35Z"/>
  </r>
  <r>
    <s v="yogiben"/>
    <s v="Ben Jones"/>
    <s v="BITWALA"/>
    <s v="Berlin"/>
    <m/>
    <x v="0"/>
    <s v="CTO &amp; Co-Founder at Bitwala"/>
    <n v="5"/>
    <n v="95"/>
    <n v="303"/>
    <n v="72"/>
    <s v="2012-05-03T16:51:40Z"/>
  </r>
  <r>
    <s v="fhueske"/>
    <s v="Fabian Hueske"/>
    <s v="CONFLUENT"/>
    <s v="Berlin, Germany"/>
    <m/>
    <x v="1"/>
    <s v="I'm a committer and PMC member of @apache Flink, software engineer at @confluentinc, co-founder of @dataArtisans, and author for O'Reilly."/>
    <n v="20"/>
    <n v="23"/>
    <n v="300"/>
    <n v="1"/>
    <s v="2012-09-20T19:26:15Z"/>
  </r>
  <r>
    <s v="nickstenning"/>
    <s v="Nick Stenning"/>
    <s v="REPLICATE"/>
    <s v="Berlin"/>
    <m/>
    <x v="1"/>
    <m/>
    <n v="1"/>
    <n v="179"/>
    <n v="299"/>
    <n v="19"/>
    <s v="2008-03-21T21:16:05Z"/>
  </r>
  <r>
    <s v="adriankumpf"/>
    <s v="Adrian Kumpf"/>
    <m/>
    <s v="Berlin"/>
    <m/>
    <x v="0"/>
    <m/>
    <n v="1"/>
    <n v="53"/>
    <n v="298"/>
    <n v="127"/>
    <s v="2014-10-02T16:59:29Z"/>
  </r>
  <r>
    <s v="anna-geller"/>
    <s v="Anna Geller"/>
    <m/>
    <s v="Berlin, Germany"/>
    <s v="contact@annageller.com"/>
    <x v="1"/>
    <s v="Product Lead at kestra.io | Data Engineer. Technical Writer. Fan of long walks, movies &amp; serverless.  "/>
    <n v="16"/>
    <n v="50"/>
    <n v="298"/>
    <n v="7"/>
    <s v="2021-06-21T19:58:18Z"/>
  </r>
  <r>
    <s v="laurmaedje"/>
    <s v="Laurenz"/>
    <s v="TYPST"/>
    <s v="Berlin"/>
    <s v="laurmaedje@gmail.com"/>
    <x v="1"/>
    <m/>
    <n v="1"/>
    <n v="30"/>
    <n v="297"/>
    <n v="6"/>
    <s v="2016-03-17T08:45:37Z"/>
  </r>
  <r>
    <s v="vasco-santos"/>
    <s v="Vasco Santos"/>
    <s v="PROTOCOL"/>
    <s v="Berlin, Germany"/>
    <m/>
    <x v="0"/>
    <s v="Making the web distributed with @libp2p @ipfs @filecoin-project  ðŸš€"/>
    <n v="9"/>
    <n v="90"/>
    <n v="295"/>
    <n v="57"/>
    <s v="2014-04-14T20:58:34Z"/>
  </r>
  <r>
    <s v="kshitij10496"/>
    <s v="Kshitij Saraogi"/>
    <s v="TOKNAPP"/>
    <s v="Berlin, Germany"/>
    <s v="kshitij.saraogi@gmail.com"/>
    <x v="1"/>
    <s v="more awesome, less suck."/>
    <n v="4"/>
    <n v="32"/>
    <n v="292"/>
    <n v="132"/>
    <s v="2015-05-13T10:11:11Z"/>
  </r>
  <r>
    <s v="neobrain"/>
    <s v="Tony Wasserka"/>
    <m/>
    <s v="Berlin"/>
    <m/>
    <x v="1"/>
    <s v="Independent consultantãƒ»embedded systems, device drivers, firmware, kernels, etcãƒ»C++ and Haskellãƒ»Wii and 3DS emulator developer"/>
    <n v="14"/>
    <n v="40"/>
    <n v="291"/>
    <n v="0"/>
    <s v="2013-06-26T20:14:52Z"/>
  </r>
  <r>
    <s v="jfahrenkrug"/>
    <s v="Johannes Fahrenkrug"/>
    <m/>
    <s v="Berlin"/>
    <m/>
    <x v="1"/>
    <s v="Independent iOS Developer"/>
    <n v="3"/>
    <n v="97"/>
    <n v="291"/>
    <n v="88"/>
    <s v="2008-07-08T05:18:10Z"/>
  </r>
  <r>
    <s v="d3vilbug"/>
    <s v="bugzy"/>
    <m/>
    <s v="Berlin, Germany"/>
    <m/>
    <x v="0"/>
    <s v="n00b, wanna be a hacker one day_x000d__x000a_"/>
    <n v="7"/>
    <n v="4"/>
    <n v="290"/>
    <n v="239"/>
    <s v="2015-08-20T13:06:22Z"/>
  </r>
  <r>
    <s v="grobie"/>
    <s v="Tobias Schmidt"/>
    <s v="GIGS"/>
    <s v="Berlin"/>
    <m/>
    <x v="0"/>
    <s v="Head of Engineering @gigs"/>
    <n v="4"/>
    <n v="65"/>
    <n v="290"/>
    <n v="50"/>
    <s v="2008-03-19T14:36:19Z"/>
  </r>
  <r>
    <s v="AlaaAttya"/>
    <s v="Alaa Attya Mohamed"/>
    <s v="DELIVERY HERO"/>
    <s v="Berlin, Germany"/>
    <s v="alaa.attya91@gmail.com"/>
    <x v="1"/>
    <s v="Software engineer. For the love of software engineering i do live."/>
    <n v="11"/>
    <n v="113"/>
    <n v="289"/>
    <n v="74"/>
    <s v="2012-12-02T08:27:52Z"/>
  </r>
  <r>
    <s v="atilafassina"/>
    <s v="Atila Fassina"/>
    <s v="CRABNEBULA-DEV"/>
    <s v="Berlin"/>
    <s v="atila@fassina.eu"/>
    <x v="0"/>
    <s v="DevRel | Tech Lead | Educator"/>
    <n v="6"/>
    <n v="89"/>
    <n v="288"/>
    <n v="30"/>
    <s v="2012-09-20T02:19:54Z"/>
  </r>
  <r>
    <s v="streadway"/>
    <s v="Sean Treadway"/>
    <s v="VEO - EX SOUNDCLOUD"/>
    <s v="Berlin"/>
    <m/>
    <x v="1"/>
    <m/>
    <n v="1"/>
    <n v="39"/>
    <n v="288"/>
    <n v="3"/>
    <s v="2008-08-06T08:48:01Z"/>
  </r>
  <r>
    <s v="goetas"/>
    <s v="Asmir Mustafic"/>
    <m/>
    <s v="Berlin, Germany"/>
    <s v="goetas@gmail.com"/>
    <x v="0"/>
    <s v="Software Architect and IT Consultant, specialties: PHP, Symfony and Docker, Puppet - in love with open source"/>
    <n v="17"/>
    <n v="93"/>
    <n v="285"/>
    <n v="59"/>
    <s v="2011-05-09T12:29:52Z"/>
  </r>
  <r>
    <s v="davidfurlong"/>
    <s v="David Furlong"/>
    <s v="FRAMESJS @OPEN-FRAMES"/>
    <s v="Berlin"/>
    <s v="dvfurlong@googlemail.com"/>
    <x v="1"/>
    <s v="Building modprotocol.org Prev: Founder &amp; CTO @DeedMob. Prev: CS &amp; Phil @ OxfordUni._x000d__x000a__x000d__x000a_React/TypeScript/Node"/>
    <n v="13"/>
    <n v="171"/>
    <n v="285"/>
    <n v="429"/>
    <s v="2011-02-12T19:25:11Z"/>
  </r>
  <r>
    <s v="objectbox"/>
    <s v="ObjectBox"/>
    <m/>
    <s v="Berlin, Germany"/>
    <m/>
    <x v="1"/>
    <s v="On-device database &amp; vector database for local object persistence, 10x faster than SQLite"/>
    <n v="13"/>
    <n v="35"/>
    <n v="285"/>
    <n v="0"/>
    <s v="2016-09-20T17:38:20Z"/>
  </r>
  <r>
    <s v="Drakulix"/>
    <s v="Victoria Brekenfeld"/>
    <s v="SYSTEM76"/>
    <s v="Berlin"/>
    <m/>
    <x v="1"/>
    <m/>
    <n v="1"/>
    <n v="61"/>
    <n v="285"/>
    <n v="21"/>
    <s v="2013-05-11T15:20:57Z"/>
  </r>
  <r>
    <s v="rafaeljesus"/>
    <s v="Rafael Jesus"/>
    <m/>
    <s v="Berlin, Germany"/>
    <m/>
    <x v="0"/>
    <s v="SRE/SWE @LightStep"/>
    <n v="2"/>
    <n v="212"/>
    <n v="285"/>
    <n v="608"/>
    <s v="2011-11-23T19:21:09Z"/>
  </r>
  <r>
    <s v="objcio"/>
    <s v="objc.io"/>
    <m/>
    <s v="Berlin"/>
    <m/>
    <x v="1"/>
    <m/>
    <n v="1"/>
    <n v="477"/>
    <n v="284"/>
    <n v="0"/>
    <s v="2013-05-12T11:22:31Z"/>
  </r>
  <r>
    <s v="vitling"/>
    <s v="David Whiting"/>
    <m/>
    <s v="Berlin, Germany"/>
    <m/>
    <x v="0"/>
    <m/>
    <n v="1"/>
    <n v="21"/>
    <n v="284"/>
    <n v="1"/>
    <s v="2012-02-17T14:43:16Z"/>
  </r>
  <r>
    <s v="hamoid"/>
    <s v="Abe Pazos"/>
    <s v="PRACHTSAAL STUDIO"/>
    <s v="Berlin, Germany"/>
    <s v="abe@hamoid.com"/>
    <x v="1"/>
    <s v="Generative art &amp; design. Co-organizer of Creative Code Berlin since 2013. GLSL shader workshops. @openrndr contributor._x000d__x000a__x000d__x000a_Now on https://codeberg.org/hamoid"/>
    <n v="18"/>
    <n v="35"/>
    <n v="283"/>
    <n v="41"/>
    <s v="2009-07-24T09:23:43Z"/>
  </r>
  <r>
    <s v="anaschwendler"/>
    <s v="Ana Schwendler"/>
    <m/>
    <s v="Berlin"/>
    <m/>
    <x v="1"/>
    <s v="Well sir, what do you bring to the table?"/>
    <n v="9"/>
    <n v="42"/>
    <n v="283"/>
    <n v="86"/>
    <s v="2013-04-11T23:34:00Z"/>
  </r>
  <r>
    <s v="daniel-j-h"/>
    <s v="Daniel J. H."/>
    <m/>
    <s v="Berlin, Germany"/>
    <m/>
    <x v="1"/>
    <m/>
    <n v="1"/>
    <n v="140"/>
    <n v="283"/>
    <n v="284"/>
    <s v="2010-12-17T12:59:54Z"/>
  </r>
  <r>
    <s v="Nitrokey"/>
    <s v="Nitrokey"/>
    <m/>
    <s v="Berlin"/>
    <s v="info@nitrokey.com"/>
    <x v="1"/>
    <s v="Secure your digital life"/>
    <n v="4"/>
    <n v="199"/>
    <n v="283"/>
    <n v="0"/>
    <s v="2014-10-28T21:55:10Z"/>
  </r>
  <r>
    <s v="sejalv"/>
    <s v="Sejal Vaidya"/>
    <m/>
    <s v="Berlin, Germany"/>
    <m/>
    <x v="0"/>
    <s v="Data generalist"/>
    <n v="2"/>
    <n v="21"/>
    <n v="282"/>
    <n v="51"/>
    <s v="2014-10-19T17:05:08Z"/>
  </r>
  <r>
    <s v="chrxh"/>
    <s v="Christian Heinemann"/>
    <m/>
    <s v="Berlin, Germany"/>
    <s v="heinemann.christian@gmail.com"/>
    <x v="1"/>
    <s v="Creator of alien-project.org | ALife and CUDA enthusiast | PhD | Software engineer | Ex-researcher in Applied Analysis"/>
    <n v="18"/>
    <n v="7"/>
    <n v="282"/>
    <n v="27"/>
    <s v="2020-10-19T15:53:59Z"/>
  </r>
  <r>
    <s v="al2na"/>
    <s v="Altuna Akalin"/>
    <s v="BERLIN INSTITUTE FOR MEDICAL SYSTEMS BIOLOGY"/>
    <s v="Berlin"/>
    <m/>
    <x v="0"/>
    <s v="doing stuff "/>
    <n v="2"/>
    <n v="73"/>
    <n v="281"/>
    <n v="0"/>
    <s v="2011-02-25T16:26:13Z"/>
  </r>
  <r>
    <s v="mr-c"/>
    <s v="Michael R. Crusoe"/>
    <s v="COMMON-WORKFLOW-LANGUAGE"/>
    <s v="Berlin, Germany"/>
    <m/>
    <x v="1"/>
    <s v="@common-workflow-language co-founder &amp; CWL Project Lead. Debian Developer volunteer for the Debian-Med (bioinformatics) team. #SciWorkflows #FreeOpenStandards"/>
    <n v="16"/>
    <n v="476"/>
    <n v="280"/>
    <n v="54"/>
    <s v="2012-01-14T21:46:42Z"/>
  </r>
  <r>
    <s v="yogmel"/>
    <s v="Mellina Yonashiro"/>
    <s v="DELIVERY HERO"/>
    <s v="Berlin, Germany"/>
    <s v="yonashiro.mellina@gmail.com"/>
    <x v="1"/>
    <s v="Software engineer"/>
    <n v="2"/>
    <n v="52"/>
    <n v="280"/>
    <n v="131"/>
    <s v="2013-03-18T18:03:26Z"/>
  </r>
  <r>
    <s v="DenisovAV"/>
    <s v="Sasha Denisov"/>
    <s v="EPAM"/>
    <s v="Berlin, Germany"/>
    <s v="denisov.shureg@gmail.com"/>
    <x v="1"/>
    <s v="Sasha is a Flutter, Dart and Firebase GDE, Head of Flutter Discpilne in EPAM,  Co-organizer of Flutter Berlin Meetup"/>
    <n v="19"/>
    <n v="44"/>
    <n v="279"/>
    <n v="3"/>
    <s v="2014-11-08T07:45:38Z"/>
  </r>
  <r>
    <s v="arianvp"/>
    <s v="Arian van Putten"/>
    <m/>
    <s v="Berlin"/>
    <m/>
    <x v="1"/>
    <m/>
    <n v="1"/>
    <n v="290"/>
    <n v="279"/>
    <n v="57"/>
    <s v="2011-02-20T15:03:03Z"/>
  </r>
  <r>
    <s v="mishushakov"/>
    <s v="Mish Ushakov"/>
    <m/>
    <s v="Berlin, Germany"/>
    <m/>
    <x v="0"/>
    <s v="Make things work"/>
    <n v="3"/>
    <n v="44"/>
    <n v="278"/>
    <n v="171"/>
    <s v="2015-01-05T11:24:11Z"/>
  </r>
  <r>
    <s v="thyrlian"/>
    <s v="Jing Li"/>
    <s v="LASTMINUTEDOTCOM"/>
    <s v="Berlin, Germany"/>
    <m/>
    <x v="0"/>
    <s v="Code âŒ¨ &amp; Play ðŸ€ | Nostalgist | Engineering Director @lastminutedotcom, formerly Clark, FREENOW, Viacom, eBay, HERE Maps, SONY, Motorola"/>
    <n v="20"/>
    <n v="81"/>
    <n v="278"/>
    <n v="209"/>
    <s v="2010-08-03T15:46:23Z"/>
  </r>
  <r>
    <s v="adrianheine"/>
    <s v="Adrian Heine nÃ© Lang"/>
    <m/>
    <s v="Berlin"/>
    <s v="mail@adrianheine.de"/>
    <x v="0"/>
    <s v="Profile picture by Veronica Jonsson, cc-by-2.0"/>
    <n v="6"/>
    <n v="86"/>
    <n v="277"/>
    <n v="21"/>
    <s v="2009-10-13T15:01:56Z"/>
  </r>
  <r>
    <s v="lorey"/>
    <s v="Karl Lorey"/>
    <s v="STARTUPRADAR @LOREYVENTURES"/>
    <s v="Berlin, Germany"/>
    <s v="git@karllorey.com"/>
    <x v="0"/>
    <s v="Data and VC. ML, Crawling, Scraping. Using whatever gets the job done, mostly Python, SQL, HTML/CSS, JS."/>
    <n v="17"/>
    <n v="34"/>
    <n v="277"/>
    <n v="270"/>
    <s v="2012-03-18T21:29:33Z"/>
  </r>
  <r>
    <s v="unnamedd"/>
    <s v="Thiago Holanda"/>
    <s v="EGYM @EVOLUTION-APP"/>
    <s v="Berlin"/>
    <m/>
    <x v="1"/>
    <s v="Always working on something with Swift, Xcode, CLI and now, Rust too. #StandWithUkraine."/>
    <n v="13"/>
    <n v="149"/>
    <n v="277"/>
    <n v="50"/>
    <s v="2009-05-12T14:36:43Z"/>
  </r>
  <r>
    <s v="septag"/>
    <s v="Sepehr Taghdisian"/>
    <s v="UBISOFT"/>
    <s v="Berlin / Germany"/>
    <s v="septag@pm.me"/>
    <x v="0"/>
    <m/>
    <n v="1"/>
    <n v="41"/>
    <n v="277"/>
    <n v="31"/>
    <s v="2013-07-24T14:23:28Z"/>
  </r>
  <r>
    <s v="asaaki"/>
    <s v="Christoph Grabo"/>
    <s v="MARKENTIER"/>
    <s v="Berlin, Germany"/>
    <m/>
    <x v="0"/>
    <s v="Holistic Engineer. Methodical Deep Thinker. {he, they}_x000d__x000a__x000d__x000a_ðŸ¦„ðŸ‘¨ðŸ¼â€ðŸ’» at @contentful"/>
    <n v="9"/>
    <n v="146"/>
    <n v="276"/>
    <n v="270"/>
    <s v="2010-10-20T09:13:37Z"/>
  </r>
  <r>
    <s v="Fouloscopie"/>
    <m/>
    <m/>
    <s v="Berlin"/>
    <m/>
    <x v="1"/>
    <s v="Chercheur @ Institut Max Planck Berlin."/>
    <n v="6"/>
    <n v="1"/>
    <n v="276"/>
    <n v="0"/>
    <s v="2021-04-15T19:35:03Z"/>
  </r>
  <r>
    <s v="sacridini"/>
    <s v="Eduardo Lacerda"/>
    <s v="HUMBOLDT-UNIVERSITÃ„T ZU BERLIN"/>
    <s v="Berlin, Germany"/>
    <s v="eduardolacerdageo@gmail.com"/>
    <x v="0"/>
    <m/>
    <n v="1"/>
    <n v="52"/>
    <n v="275"/>
    <n v="69"/>
    <s v="2014-05-31T20:05:59Z"/>
  </r>
  <r>
    <s v="alanakbik"/>
    <s v="Alan Akbik"/>
    <m/>
    <s v="Berlin"/>
    <m/>
    <x v="1"/>
    <s v="Creator of the Flair NLP framework_x000d__x000a_"/>
    <n v="6"/>
    <n v="9"/>
    <n v="275"/>
    <n v="1"/>
    <s v="2016-04-25T17:49:09Z"/>
  </r>
  <r>
    <s v="nomicode"/>
    <s v="Naomi"/>
    <m/>
    <s v="Berlin, Germany"/>
    <m/>
    <x v="0"/>
    <m/>
    <n v="1"/>
    <n v="30"/>
    <n v="275"/>
    <n v="3"/>
    <s v="2008-09-06T19:50:18Z"/>
  </r>
  <r>
    <s v="talitaoliveira"/>
    <s v="Talita Oliveira"/>
    <s v="IMMOBILIEN SCOUT24"/>
    <s v="Berlin, Germany"/>
    <m/>
    <x v="1"/>
    <s v="Software Engineer"/>
    <n v="2"/>
    <n v="93"/>
    <n v="275"/>
    <n v="125"/>
    <s v="2012-08-15T16:59:47Z"/>
  </r>
  <r>
    <s v="marktani"/>
    <s v="Nilan Marktanner"/>
    <m/>
    <s v="Berlin"/>
    <m/>
    <x v="1"/>
    <s v="Learning about life, humans, culture, languages, and everything else. I'd love to meet you!"/>
    <n v="14"/>
    <n v="107"/>
    <n v="274"/>
    <n v="23"/>
    <s v="2012-05-26T11:25:54Z"/>
  </r>
  <r>
    <s v="Licenser"/>
    <s v="Heinz N. Gies"/>
    <m/>
    <s v="Berlin, Germany"/>
    <s v="heinz@licenser.net"/>
    <x v="1"/>
    <m/>
    <n v="1"/>
    <n v="224"/>
    <n v="273"/>
    <n v="43"/>
    <s v="2009-08-25T00:16:51Z"/>
  </r>
  <r>
    <s v="Khaledgarbaya"/>
    <s v="Khaled Garbaya"/>
    <s v="UNIFORMDEV"/>
    <s v="Berlin - Germany"/>
    <s v="khaledgarbaya@gmail.com"/>
    <x v="1"/>
    <s v="Engineering Leader"/>
    <n v="2"/>
    <n v="196"/>
    <n v="273"/>
    <n v="155"/>
    <s v="2011-10-27T16:40:42Z"/>
  </r>
  <r>
    <s v="s1monw"/>
    <s v="Simon Willnauer"/>
    <s v="ELASTIC"/>
    <s v="Berlin"/>
    <s v="simonw@apache.org"/>
    <x v="1"/>
    <m/>
    <n v="1"/>
    <n v="18"/>
    <n v="273"/>
    <n v="1"/>
    <s v="2011-08-11T07:56:17Z"/>
  </r>
  <r>
    <s v="angelikatyborska"/>
    <s v="Angelika Cathor"/>
    <m/>
    <s v="Berlin, Germany"/>
    <m/>
    <x v="1"/>
    <m/>
    <n v="1"/>
    <n v="63"/>
    <n v="272"/>
    <n v="17"/>
    <s v="2014-06-10T18:41:49Z"/>
  </r>
  <r>
    <s v="bennycode"/>
    <s v="Benny Neugebauer"/>
    <s v="SOUTHPOLECARBON"/>
    <s v="Berlin"/>
    <s v="mail@bennycode.com"/>
    <x v="0"/>
    <s v="I am a professional programmer who likes to collaborate with passionate &amp; friendly people. ðŸ’»ðŸ’«"/>
    <n v="15"/>
    <n v="297"/>
    <n v="271"/>
    <n v="34"/>
    <s v="2010-11-06T10:37:23Z"/>
  </r>
  <r>
    <s v="Kovah"/>
    <s v="Kevin Woblick"/>
    <m/>
    <s v="Berlin, Germany"/>
    <s v="contact@kovah.de"/>
    <x v="1"/>
    <s v="Full Stack Web Engineer and Open Source Creator._x000d__x000a_DevOps @ Universal Music Germany"/>
    <n v="12"/>
    <n v="43"/>
    <n v="271"/>
    <n v="56"/>
    <s v="2012-06-04T17:15:47Z"/>
  </r>
  <r>
    <s v="mrflix"/>
    <s v="Felix Niklas"/>
    <m/>
    <s v="Berlin, Germany"/>
    <m/>
    <x v="0"/>
    <s v="Freelance web developer"/>
    <n v="3"/>
    <n v="48"/>
    <n v="270"/>
    <n v="15"/>
    <s v="2009-03-06T14:27:43Z"/>
  </r>
  <r>
    <s v="sorenbs"/>
    <s v="SÃ¸ren Bramer Schmidt"/>
    <s v="PRISMA"/>
    <s v="Berlin / SF"/>
    <m/>
    <x v="1"/>
    <s v="If you are building for a global audience, you should give @prisma a try. Twitter DMs open - please reach out!"/>
    <n v="21"/>
    <n v="41"/>
    <n v="270"/>
    <n v="10"/>
    <s v="2010-05-19T12:33:13Z"/>
  </r>
  <r>
    <s v="tsterbak"/>
    <s v="Tobias Sterbak"/>
    <m/>
    <s v="Berlin, Germany"/>
    <m/>
    <x v="0"/>
    <s v="Data Scientist, Mathematician, Machine Learning Engineer, Open Source developer"/>
    <n v="9"/>
    <n v="48"/>
    <n v="269"/>
    <n v="19"/>
    <s v="2015-07-13T08:02:25Z"/>
  </r>
  <r>
    <s v="rixx"/>
    <s v="Tobias Kunze"/>
    <s v="PRETALX.COM"/>
    <s v="Berlin, Germany"/>
    <s v="r@rixx.de"/>
    <x v="1"/>
    <s v="I build things, like @pretalx or @venueless. I run events, like @metarheinmain or @c3cashdesk."/>
    <n v="14"/>
    <n v="169"/>
    <n v="268"/>
    <n v="76"/>
    <s v="2012-10-26T13:59:27Z"/>
  </r>
  <r>
    <s v="reuben"/>
    <s v="Reuben Morais"/>
    <m/>
    <s v="Berlin"/>
    <m/>
    <x v="1"/>
    <m/>
    <n v="1"/>
    <n v="128"/>
    <n v="267"/>
    <n v="16"/>
    <s v="2010-11-11T10:23:54Z"/>
  </r>
  <r>
    <s v="RosaWagner"/>
    <s v="Rosalie Wagner"/>
    <m/>
    <s v="Berlin"/>
    <s v="mail@rosaliewagner.com"/>
    <x v="1"/>
    <s v="French Berlin based Type designer / Font Engineer. "/>
    <n v="8"/>
    <n v="2"/>
    <n v="267"/>
    <n v="32"/>
    <s v="2015-05-03T16:07:30Z"/>
  </r>
  <r>
    <s v="rivo"/>
    <s v="rivo"/>
    <m/>
    <s v="Berlin, Germany"/>
    <m/>
    <x v="0"/>
    <m/>
    <n v="1"/>
    <n v="13"/>
    <n v="267"/>
    <n v="0"/>
    <s v="2010-11-14T10:24:32Z"/>
  </r>
  <r>
    <s v="lucaong"/>
    <s v="Luca Ongaro"/>
    <s v="MAGALOOP GMBH"/>
    <s v="Berlin, Germany"/>
    <m/>
    <x v="1"/>
    <s v="Loves crafting software products. Science enthusiast. CTO and Co-Founder at Magaloop GmbH."/>
    <n v="12"/>
    <n v="64"/>
    <n v="267"/>
    <n v="26"/>
    <s v="2010-03-18T16:24:15Z"/>
  </r>
  <r>
    <s v="dpreussler"/>
    <s v="Danny Preussler"/>
    <s v="SOUNDCLOUD"/>
    <s v="Berlin, Germany"/>
    <m/>
    <x v="1"/>
    <s v="Google Developer Expert, Conference Nomad, Goth, Techno, @soundcloud Previously @Viacom @groupon @eBay â™¡ TDD â™¡ Clean Code"/>
    <n v="17"/>
    <n v="41"/>
    <n v="266"/>
    <n v="1"/>
    <s v="2012-09-26T07:29:16Z"/>
  </r>
  <r>
    <s v="fabsx00"/>
    <s v="Fabian Yamaguchi"/>
    <s v="SHIFTLEFT INC"/>
    <s v="Berlin, Germany"/>
    <s v="mail@fabianyamaguchi.com"/>
    <x v="1"/>
    <m/>
    <n v="1"/>
    <n v="21"/>
    <n v="265"/>
    <n v="27"/>
    <s v="2012-01-25T13:42:19Z"/>
  </r>
  <r>
    <s v="sotte"/>
    <s v="Stefan Otte"/>
    <m/>
    <s v="Berlin, Germany"/>
    <s v="stefan.otte@gmail.com"/>
    <x v="0"/>
    <s v="ML, DL, CV, RL, PyTorch"/>
    <n v="5"/>
    <n v="105"/>
    <n v="265"/>
    <n v="47"/>
    <s v="2009-04-29T12:06:18Z"/>
  </r>
  <r>
    <s v="janmonschke"/>
    <s v="Jan Monschke"/>
    <s v="ELASTIC"/>
    <s v="Berlin"/>
    <m/>
    <x v="1"/>
    <m/>
    <n v="1"/>
    <n v="100"/>
    <n v="264"/>
    <n v="27"/>
    <s v="2009-03-30T11:50:06Z"/>
  </r>
  <r>
    <s v="spacecowb0y"/>
    <s v="[object Object]"/>
    <m/>
    <s v="Berlin, Germany"/>
    <m/>
    <x v="0"/>
    <s v="Human after all."/>
    <n v="3"/>
    <n v="96"/>
    <n v="263"/>
    <n v="2446"/>
    <s v="2008-10-15T20:04:46Z"/>
  </r>
  <r>
    <s v="MKRLancer"/>
    <s v="M.K~R lancer"/>
    <m/>
    <s v="Berlin of Germany"/>
    <m/>
    <x v="1"/>
    <s v="Full-Stack | Mobile | Blockchain &amp; 9 yrs"/>
    <n v="8"/>
    <n v="15"/>
    <n v="262"/>
    <n v="336"/>
    <s v="2023-01-31T18:25:53Z"/>
  </r>
  <r>
    <s v="candostdagdeviren"/>
    <s v="Candost"/>
    <s v="SUMUP"/>
    <s v="Berlin, Germany"/>
    <m/>
    <x v="1"/>
    <s v="Engineer Manager | Writer"/>
    <n v="4"/>
    <n v="28"/>
    <n v="262"/>
    <n v="28"/>
    <s v="2012-07-13T20:45:28Z"/>
  </r>
  <r>
    <s v="kenshinji"/>
    <s v="Fred Wang"/>
    <m/>
    <s v="Berlin, Germany"/>
    <s v="gundam0083ster@gmail.com"/>
    <x v="0"/>
    <s v="on the way of being a polyglot / fullstack hacker ðŸ’ª "/>
    <n v="11"/>
    <n v="141"/>
    <n v="262"/>
    <n v="610"/>
    <s v="2012-02-03T02:11:11Z"/>
  </r>
  <r>
    <s v="lstoll"/>
    <s v="Lincoln Stoll"/>
    <m/>
    <s v="Berlin, DE"/>
    <s v="me@lds.li"/>
    <x v="1"/>
    <m/>
    <n v="1"/>
    <n v="228"/>
    <n v="262"/>
    <n v="6"/>
    <s v="2008-02-23T19:34:57Z"/>
  </r>
  <r>
    <s v="denisdefreyne"/>
    <s v="Denis Defreyne"/>
    <m/>
    <s v="Berlin, Germany"/>
    <s v="hello@denisdefreyne.com"/>
    <x v="0"/>
    <s v="Third nicest person in my neighbourhood"/>
    <n v="6"/>
    <n v="128"/>
    <n v="262"/>
    <n v="132"/>
    <s v="2008-04-10T20:22:47Z"/>
  </r>
  <r>
    <s v="jmattheis"/>
    <s v="Jannis Mattheis"/>
    <s v="GOTIFY @SCREEGO @TRAGGO"/>
    <s v="Berlin, Germany"/>
    <s v="hello@jmattheis.de"/>
    <x v="0"/>
    <s v="Self-taught programmer with great interest in code quality."/>
    <n v="8"/>
    <n v="21"/>
    <n v="261"/>
    <n v="10"/>
    <s v="2015-09-29T18:57:10Z"/>
  </r>
  <r>
    <s v="cmichi"/>
    <s v="Michael MÃ¼ller"/>
    <m/>
    <s v="Germany, Berlin"/>
    <m/>
    <x v="1"/>
    <s v="Techno-creative enthusiast."/>
    <n v="2"/>
    <n v="56"/>
    <n v="261"/>
    <n v="79"/>
    <s v="2010-04-11T13:09:44Z"/>
  </r>
  <r>
    <s v="Sly777"/>
    <s v="Ilker Guller"/>
    <m/>
    <s v="Berlin, Germany"/>
    <m/>
    <x v="0"/>
    <s v="Gamer || Metal Drummer || Full JS Dev || Berlin X Istanbul || Author of RAN, Hayde || ðŸ’• Open Source"/>
    <n v="21"/>
    <n v="77"/>
    <n v="261"/>
    <n v="54"/>
    <s v="2011-03-28T11:46:22Z"/>
  </r>
  <r>
    <s v="OskarStark"/>
    <s v="Oskar Stark"/>
    <s v="SENSIOLABS GERMANY"/>
    <s v="Berlin"/>
    <s v="oskarstark@googlemail.com"/>
    <x v="1"/>
    <m/>
    <n v="1"/>
    <n v="303"/>
    <n v="260"/>
    <n v="65"/>
    <s v="2011-08-22T08:04:41Z"/>
  </r>
  <r>
    <s v="esoxjem"/>
    <s v="Arun Sasidharan"/>
    <s v="SHARETHEMEAL"/>
    <s v="Berlin"/>
    <m/>
    <x v="1"/>
    <m/>
    <n v="1"/>
    <n v="25"/>
    <n v="259"/>
    <n v="25"/>
    <s v="2014-06-09T10:09:06Z"/>
  </r>
  <r>
    <s v="saschanaz"/>
    <s v="Kagami Sascha Rosylight"/>
    <s v="MOZILLA"/>
    <s v="Berlin, Germany"/>
    <s v="saschanaz@outlook.com"/>
    <x v="1"/>
    <s v="Some web things"/>
    <n v="3"/>
    <n v="392"/>
    <n v="257"/>
    <n v="25"/>
    <s v="2013-01-27T11:50:16Z"/>
  </r>
  <r>
    <s v="clovisdasilvaneto"/>
    <s v="ClÃ³vis Neto"/>
    <s v="AUDIBENE"/>
    <s v="Berlin | Germany"/>
    <s v="clovisdasilvaneto@gmail.com"/>
    <x v="1"/>
    <s v="Front End Engineer, FEMUG-PE founder, creator of the All Animation CSS3 and NevinhaJs"/>
    <n v="13"/>
    <n v="157"/>
    <n v="256"/>
    <n v="35"/>
    <s v="2013-05-29T03:14:59Z"/>
  </r>
  <r>
    <s v="montogeek"/>
    <s v="Fernando Montoya"/>
    <m/>
    <s v="Berlin, Germany"/>
    <s v="montogeek@gmail.com"/>
    <x v="0"/>
    <s v="Also words"/>
    <n v="2"/>
    <n v="274"/>
    <n v="256"/>
    <n v="65"/>
    <s v="2011-08-24T20:08:07Z"/>
  </r>
  <r>
    <s v="Letty"/>
    <s v="Letty"/>
    <m/>
    <s v="Berlin"/>
    <m/>
    <x v="0"/>
    <m/>
    <n v="1"/>
    <n v="20"/>
    <n v="256"/>
    <n v="38"/>
    <s v="2010-11-03T11:50:19Z"/>
  </r>
  <r>
    <s v="autophagy"/>
    <s v="Mika Naylor"/>
    <s v="CONFLUENTINC"/>
    <s v="Berlin"/>
    <s v="mail@autophagy.io"/>
    <x v="0"/>
    <s v="a temple of wet earth and rough stones, erected in haste"/>
    <n v="11"/>
    <n v="72"/>
    <n v="255"/>
    <n v="23"/>
    <s v="2015-06-18T22:35:10Z"/>
  </r>
  <r>
    <s v="marcobiedermann"/>
    <s v="Marco Biedermann"/>
    <s v="MOBIMEO"/>
    <s v="Berlin, Germany"/>
    <m/>
    <x v="0"/>
    <s v="Senior Full-Stack Software Engineer working primarily with TypeScript, Node.js &amp; React"/>
    <n v="11"/>
    <n v="58"/>
    <n v="255"/>
    <n v="71"/>
    <s v="2013-08-16T13:42:53Z"/>
  </r>
  <r>
    <s v="efemoney"/>
    <s v="Efeturi Money"/>
    <s v="CAREEM"/>
    <s v="Berlin, Germany"/>
    <s v="efeturi.money@gmail.com"/>
    <x v="0"/>
    <s v="Android developer and Design enthusiast."/>
    <n v="5"/>
    <n v="23"/>
    <n v="254"/>
    <n v="73"/>
    <s v="2014-08-13T04:37:02Z"/>
  </r>
  <r>
    <s v="niderhoff"/>
    <s v="Nicolas Iderhoff"/>
    <s v="T-SYSTEMS"/>
    <s v="Berlin"/>
    <s v="nicolasiderhoff@googlemail.com"/>
    <x v="0"/>
    <s v="Data Scientist"/>
    <n v="2"/>
    <n v="24"/>
    <n v="252"/>
    <n v="60"/>
    <s v="2013-11-20T14:11:18Z"/>
  </r>
  <r>
    <s v="marinho"/>
    <s v="Mario Brandao"/>
    <s v="STUFF STUFF @Â SAP"/>
    <s v="Berlin, Germany"/>
    <s v="marinho@gmail.com"/>
    <x v="1"/>
    <s v="organic"/>
    <n v="1"/>
    <n v="129"/>
    <n v="252"/>
    <n v="10"/>
    <s v="2008-04-03T14:09:08Z"/>
  </r>
  <r>
    <s v="kimar"/>
    <s v="Marcus Kida"/>
    <s v="BEAROLOGICS"/>
    <s v="Berlin, Germany"/>
    <s v="marcus.kida@bearologics.com"/>
    <x v="0"/>
    <s v="Freelance Mobile App Developer and CEO @ Bearologics GmbH ðŸ‘‰ I'm solving problems through code. Want to build a PoC for your startup? Get in touch."/>
    <n v="26"/>
    <n v="153"/>
    <n v="251"/>
    <n v="231"/>
    <s v="2009-09-13T17:23:19Z"/>
  </r>
  <r>
    <s v="omergulen"/>
    <s v="Ã–mer"/>
    <s v="BABBEL"/>
    <s v="Berlin, Germany"/>
    <m/>
    <x v="0"/>
    <s v="swe @babbel "/>
    <n v="2"/>
    <n v="97"/>
    <n v="251"/>
    <n v="395"/>
    <s v="2017-03-19T16:01:14Z"/>
  </r>
  <r>
    <s v="progapandist"/>
    <s v="Andy Baranov"/>
    <m/>
    <s v="Berlin, Germany"/>
    <s v="andrey@hey.com"/>
    <x v="0"/>
    <s v="Cloud, tooling, Ruby, Go, Rails, K8s, GKE, some front-end love. Common-sense deploys and clean code."/>
    <n v="15"/>
    <n v="46"/>
    <n v="251"/>
    <n v="42"/>
    <s v="2015-05-19T13:29:32Z"/>
  </r>
  <r>
    <s v="aarlt"/>
    <s v="Alexander Arlt"/>
    <s v="ARLT-LABS.COM"/>
    <s v="Berlin"/>
    <m/>
    <x v="1"/>
    <s v="I'm a freelance software engineer from Berlin."/>
    <n v="7"/>
    <n v="43"/>
    <n v="250"/>
    <n v="9"/>
    <s v="2013-07-14T22:02:05Z"/>
  </r>
  <r>
    <s v="devonestes"/>
    <s v="Devon Estes"/>
    <s v="V7LABS"/>
    <s v="Berlin, Germany"/>
    <s v="devon.c.estes@gmail.com"/>
    <x v="1"/>
    <s v="@elixir-lang developer. Maintainer of Muzak, @bencheeorg &amp; the Elixir track at @exercism._x000d__x000a_"/>
    <n v="12"/>
    <n v="74"/>
    <n v="250"/>
    <n v="4"/>
    <s v="2014-08-12T00:21:54Z"/>
  </r>
  <r>
    <s v="manuelbieh"/>
    <s v="Manuel Bieh"/>
    <s v="WIREMORE @UNBOGIFY"/>
    <s v="Berlin"/>
    <s v="github@manuelbieh.de"/>
    <x v="0"/>
    <s v="Freelance JavaScript Developer from Berlin. You can hire me!"/>
    <n v="9"/>
    <n v="83"/>
    <n v="249"/>
    <n v="51"/>
    <s v="2010-04-08T13:40:20Z"/>
  </r>
  <r>
    <s v="irh"/>
    <s v="Ian Hobson"/>
    <m/>
    <s v="Berlin, Germany"/>
    <m/>
    <x v="1"/>
    <m/>
    <n v="1"/>
    <n v="46"/>
    <n v="249"/>
    <n v="6"/>
    <s v="2011-07-12T12:18:43Z"/>
  </r>
  <r>
    <s v="hartwork"/>
    <s v="Sebastian Pipping"/>
    <m/>
    <s v="Berlin, Europe"/>
    <s v="sebastian@pipping.org"/>
    <x v="0"/>
    <s v="If you enjoy my Open Source work, please consider donating to the Free Software Foundation Europe (FSFE)."/>
    <n v="17"/>
    <n v="190"/>
    <n v="248"/>
    <n v="223"/>
    <s v="2012-03-26T17:34:21Z"/>
  </r>
  <r>
    <s v="s-soroosh"/>
    <s v="Soroosh Sarabadani"/>
    <s v="SHOPIFY"/>
    <s v="Berlin"/>
    <s v="soroosh.sarabadani@gmail.com"/>
    <x v="0"/>
    <s v="Senior Staff Software Engineer @Shopify"/>
    <n v="5"/>
    <n v="123"/>
    <n v="248"/>
    <n v="19"/>
    <s v="2011-04-13T11:43:41Z"/>
  </r>
  <r>
    <s v="lukasoppermann"/>
    <s v="Lukas Oppermann"/>
    <s v="GITHUB"/>
    <s v="Berlin, Germany"/>
    <s v="hello@lukasoppermann.com"/>
    <x v="0"/>
    <s v="Design at @github @primer._x000d__x000a_Loves coffee, ðŸˆ and technology._x000d__x000a__x000d__x000a__x000d__x000a_Crazy about design systems &amp; design tokens."/>
    <n v="14"/>
    <n v="78"/>
    <n v="248"/>
    <n v="2"/>
    <s v="2011-05-27T07:28:46Z"/>
  </r>
  <r>
    <s v="joseliacosta"/>
    <s v="Joselia C"/>
    <m/>
    <s v="Berlin"/>
    <m/>
    <x v="1"/>
    <s v="I care about people and most of my motivation to code is find solutions for them. Because it is always about people."/>
    <n v="22"/>
    <n v="70"/>
    <n v="248"/>
    <n v="46"/>
    <s v="2014-10-16T00:16:38Z"/>
  </r>
  <r>
    <s v="szaimen"/>
    <s v="Simon L."/>
    <s v="NEXTCLOUD GMBH"/>
    <s v="Berlin"/>
    <s v="szaimen@e.mail.de"/>
    <x v="1"/>
    <m/>
    <n v="1"/>
    <n v="13"/>
    <n v="245"/>
    <n v="86"/>
    <s v="2018-08-21T22:38:15Z"/>
  </r>
  <r>
    <s v="Rebaiahmed"/>
    <s v="Ahmed Rebai"/>
    <s v="ENTIMO AG"/>
    <s v="Berlin"/>
    <s v="ahmed.bouhmid94@gmail.com"/>
    <x v="0"/>
    <s v="â€¢ Software Engineer ðŸ‘¨â€ðŸ’»_x000d__x000a_â€¢ Angular Berlin meetup Co-organizerðŸŽƒ_x000d__x000a_â€¢ Front-end Developer/Angular â¤_x000d__x000a__x000d__x000a_"/>
    <n v="11"/>
    <n v="177"/>
    <n v="244"/>
    <n v="509"/>
    <s v="2015-06-25T18:24:58Z"/>
  </r>
  <r>
    <s v="polarity"/>
    <s v="Robert Agthe"/>
    <s v="SCRIPTSHIT"/>
    <s v="Berlin"/>
    <s v="robert@scriptshit.de"/>
    <x v="0"/>
    <s v="i love php"/>
    <n v="3"/>
    <n v="49"/>
    <n v="243"/>
    <n v="10"/>
    <s v="2009-11-01T16:47:07Z"/>
  </r>
  <r>
    <s v="fmeyer"/>
    <s v="Fernando Meyer"/>
    <s v="OKTA"/>
    <s v="Berlin"/>
    <s v="fm@pobox.com"/>
    <x v="1"/>
    <m/>
    <n v="1"/>
    <n v="69"/>
    <n v="243"/>
    <n v="19"/>
    <s v="2008-04-08T05:24:27Z"/>
  </r>
  <r>
    <s v="hanakamer"/>
    <s v="Hana Kamer"/>
    <s v="TRAVELPERK"/>
    <s v="Berlin"/>
    <m/>
    <x v="0"/>
    <m/>
    <n v="1"/>
    <n v="56"/>
    <n v="243"/>
    <n v="50"/>
    <s v="2015-01-10T21:33:58Z"/>
  </r>
  <r>
    <s v="Kriesse"/>
    <s v="Kristina Schneider"/>
    <s v="COBOT"/>
    <s v="Berlin"/>
    <s v="kristina@cssconf.eu"/>
    <x v="1"/>
    <s v="Co-founder at Cobot, organizer of @cssconf @upfrontug @CSSclasses."/>
    <n v="8"/>
    <n v="45"/>
    <n v="242"/>
    <n v="25"/>
    <s v="2009-02-11T15:40:03Z"/>
  </r>
  <r>
    <s v="geekdada"/>
    <s v="Roy Li"/>
    <s v="KLARNA"/>
    <s v="Berlin, Germany"/>
    <s v="me@royli.dev"/>
    <x v="1"/>
    <s v="Engineer @klarna"/>
    <n v="2"/>
    <n v="78"/>
    <n v="242"/>
    <n v="127"/>
    <s v="2013-01-15T12:09:18Z"/>
  </r>
  <r>
    <s v="mlegy"/>
    <s v="Ahmad Melegy"/>
    <s v="DOORDASH"/>
    <s v="Berlin, Germany"/>
    <m/>
    <x v="0"/>
    <s v="Software Engineer"/>
    <n v="2"/>
    <n v="55"/>
    <n v="241"/>
    <n v="177"/>
    <s v="2013-06-25T18:25:00Z"/>
  </r>
  <r>
    <s v="mirshko"/>
    <s v="Jeff Reiner"/>
    <m/>
    <s v="Berlin, Germany"/>
    <m/>
    <x v="1"/>
    <s v="Product Engineer"/>
    <n v="2"/>
    <n v="94"/>
    <n v="240"/>
    <n v="195"/>
    <s v="2014-07-09T17:46:14Z"/>
  </r>
  <r>
    <s v="Dylan-DPC-zz"/>
    <s v="Dylan DPC"/>
    <m/>
    <s v="Berlin"/>
    <m/>
    <x v="0"/>
    <s v="Rustacean "/>
    <n v="1"/>
    <n v="179"/>
    <n v="239"/>
    <n v="86"/>
    <s v="2015-05-09T12:22:58Z"/>
  </r>
  <r>
    <s v="linki"/>
    <s v="Martin Linkhorst"/>
    <s v="ZALANDO"/>
    <s v="Berlin"/>
    <m/>
    <x v="1"/>
    <m/>
    <n v="1"/>
    <n v="120"/>
    <n v="239"/>
    <n v="128"/>
    <s v="2008-11-23T15:34:01Z"/>
  </r>
  <r>
    <s v="danielpaulus"/>
    <m/>
    <m/>
    <s v="Berlin"/>
    <m/>
    <x v="1"/>
    <s v="I like to solve complicated problems and reverse engineer things :-D_x000d__x000a_Join the iOS Discord https://discord.gg/Zr8J3bCdkv"/>
    <n v="15"/>
    <n v="38"/>
    <n v="238"/>
    <n v="0"/>
    <s v="2013-05-03T13:32:26Z"/>
  </r>
  <r>
    <s v="keremciu"/>
    <s v="Kerem Sevencan"/>
    <s v="ZALANDO"/>
    <s v="Berlin"/>
    <m/>
    <x v="1"/>
    <m/>
    <n v="1"/>
    <n v="82"/>
    <n v="237"/>
    <n v="60"/>
    <s v="2012-03-31T15:48:59Z"/>
  </r>
  <r>
    <s v="aep"/>
    <s v="Arvid E. Picciani"/>
    <s v="KRAUDCLOUD @DEVGUARDIO @ZETZIT"/>
    <s v="Berlin"/>
    <s v="aep@exys.org"/>
    <x v="0"/>
    <s v="internet connected devices hacker"/>
    <n v="4"/>
    <n v="219"/>
    <n v="237"/>
    <n v="56"/>
    <s v="2009-10-08T17:02:49Z"/>
  </r>
  <r>
    <s v="stanislaw"/>
    <s v="Stanislav Pankevich"/>
    <m/>
    <s v="Berlin, Germany"/>
    <s v="s.pankevich@gmail.com"/>
    <x v="0"/>
    <m/>
    <n v="1"/>
    <n v="70"/>
    <n v="237"/>
    <n v="9"/>
    <s v="2010-10-25T04:52:11Z"/>
  </r>
  <r>
    <s v="msoos"/>
    <s v="Mate Soos"/>
    <m/>
    <s v="Berlin, Germany"/>
    <s v="soos.mate@gmail.com"/>
    <x v="1"/>
    <s v="SAT&amp;SMT solver, cryptography and security enthusiast"/>
    <n v="6"/>
    <n v="71"/>
    <n v="236"/>
    <n v="12"/>
    <s v="2012-01-16T20:22:36Z"/>
  </r>
  <r>
    <s v="BenchR267"/>
    <s v="Benjamin Herzog"/>
    <s v="ï£¿"/>
    <s v="Berlin, Germany"/>
    <s v="mail@benchr.de"/>
    <x v="1"/>
    <s v="ï£¿ Dev Tools"/>
    <n v="3"/>
    <n v="22"/>
    <n v="235"/>
    <n v="102"/>
    <s v="2013-11-05T07:43:37Z"/>
  </r>
  <r>
    <s v="chrippa"/>
    <s v="Christopher Rosell"/>
    <m/>
    <s v="Berlin, Germany"/>
    <m/>
    <x v="0"/>
    <m/>
    <n v="1"/>
    <n v="26"/>
    <n v="235"/>
    <n v="18"/>
    <s v="2008-08-28T21:33:00Z"/>
  </r>
  <r>
    <s v="Goldziher"/>
    <s v="Na'aman Hirschfeld"/>
    <s v="PHILIPPS &amp; BYRNE GMBH"/>
    <s v="Berlin"/>
    <s v="nhirschfeld@gmail.com"/>
    <x v="0"/>
    <s v="- Co-founder @basemind-ai. _x000d__x000a_- Creator @litestar-org. _x000d__x000a__x000d__x000a_Fullstack engineer and open-source contributor."/>
    <n v="11"/>
    <n v="21"/>
    <n v="235"/>
    <n v="101"/>
    <s v="2017-08-04T18:13:47Z"/>
  </r>
  <r>
    <s v="bashofmann"/>
    <s v="Bastian Hofmann"/>
    <s v="QDRANT"/>
    <s v="Berlin"/>
    <m/>
    <x v="1"/>
    <s v="Bringing @qdrant to enterprises"/>
    <n v="4"/>
    <n v="166"/>
    <n v="234"/>
    <n v="29"/>
    <s v="2010-04-13T13:39:37Z"/>
  </r>
  <r>
    <s v="phazonoverload"/>
    <s v="Kevin Lewis"/>
    <s v="DIRECTUS"/>
    <s v="Berlin"/>
    <s v="kvn@lws.io"/>
    <x v="1"/>
    <s v="Runs Developer Experience at @directus. Director, You Got This."/>
    <n v="9"/>
    <n v="74"/>
    <n v="234"/>
    <n v="27"/>
    <s v="2012-02-22T15:01:20Z"/>
  </r>
  <r>
    <s v="moiseshorta"/>
    <s v="MoisÃ©s Horta Valenzuela"/>
    <s v="MOISESHORTA.AUDIO"/>
    <s v="Berlin"/>
    <m/>
    <x v="1"/>
    <s v="â‰ Sound artist, creative technologist and electronic musician working with generative A.I. _x000d__x000a_From MÃ©xico, based in Berlin. "/>
    <n v="17"/>
    <n v="34"/>
    <n v="233"/>
    <n v="113"/>
    <s v="2018-12-18T15:26:04Z"/>
  </r>
  <r>
    <s v="Mark2Mark"/>
    <s v="Mark FrÃ¶mberg"/>
    <s v="HYPER-TYPE"/>
    <s v="Berlin, Germany"/>
    <s v="hello@markfromberg.com"/>
    <x v="0"/>
    <s v="Typeface designer and developer,_x000d__x000a_Â½ of Hypertype, TypeMedia 2014"/>
    <n v="8"/>
    <n v="52"/>
    <n v="233"/>
    <n v="97"/>
    <s v="2013-10-31T16:07:02Z"/>
  </r>
  <r>
    <s v="jenskutilek"/>
    <s v="Jens Kutilek"/>
    <s v="LUCASFONTS"/>
    <s v="Berlin"/>
    <s v="webmail@kutilek.de"/>
    <x v="1"/>
    <m/>
    <n v="1"/>
    <n v="68"/>
    <n v="233"/>
    <n v="69"/>
    <s v="2013-01-04T13:58:37Z"/>
  </r>
  <r>
    <s v="v-thakkar"/>
    <s v="Vaishali Thakkar"/>
    <m/>
    <s v="Berlin"/>
    <m/>
    <x v="0"/>
    <s v="Linux kernel/Virtualization(Xen) engineer. Interested in everything related to (Operating U Embedded U Distributed) âˆ© Systems"/>
    <n v="15"/>
    <n v="60"/>
    <n v="232"/>
    <n v="31"/>
    <s v="2014-03-30T04:06:31Z"/>
  </r>
  <r>
    <s v="343max"/>
    <s v="Max von Webel"/>
    <m/>
    <s v="Berlin, Germany"/>
    <s v="max@343max.de"/>
    <x v="1"/>
    <m/>
    <n v="1"/>
    <n v="171"/>
    <n v="232"/>
    <n v="67"/>
    <s v="2008-11-11T20:12:04Z"/>
  </r>
  <r>
    <s v="LukasReschke"/>
    <s v="Lukas Reschke"/>
    <s v="AUTHENTICK"/>
    <s v="Berlin"/>
    <s v="lukas@statuscode.ch"/>
    <x v="0"/>
    <s v="My opinions are my own and unrelated to my employer. _x000d__x000a__x000d__x000a_This is my personal profile."/>
    <n v="15"/>
    <n v="74"/>
    <n v="232"/>
    <n v="44"/>
    <s v="2011-06-27T14:52:26Z"/>
  </r>
  <r>
    <s v="joaomilho"/>
    <s v="Yo Lulkin"/>
    <s v="PERSONIO.DE"/>
    <s v="Berlin, Germany"/>
    <m/>
    <x v="1"/>
    <m/>
    <n v="1"/>
    <n v="43"/>
    <n v="232"/>
    <n v="33"/>
    <s v="2010-06-18T01:13:39Z"/>
  </r>
  <r>
    <s v="akrennmair"/>
    <s v="Andreas Krennmair"/>
    <m/>
    <s v="Berlin, Germany"/>
    <m/>
    <x v="1"/>
    <m/>
    <n v="1"/>
    <n v="80"/>
    <n v="231"/>
    <n v="9"/>
    <s v="2008-12-20T09:03:56Z"/>
  </r>
  <r>
    <s v="AbdullahBakir97"/>
    <s v="Abdullah Bakir "/>
    <s v="MYSTRO"/>
    <s v="Berlin"/>
    <s v="abdullah.bakir.204@gmail.com"/>
    <x v="1"/>
    <s v="Python Developer_x000d__x000a__x000d__x000a_"/>
    <n v="2"/>
    <n v="59"/>
    <n v="231"/>
    <n v="709"/>
    <s v="2023-03-06T20:39:53Z"/>
  </r>
  <r>
    <s v="kirel"/>
    <s v="Daniel Kirsch"/>
    <s v="IDALAB GMBH"/>
    <s v="Berlin"/>
    <s v="mail@danielkirs.ch"/>
    <x v="1"/>
    <m/>
    <n v="1"/>
    <n v="63"/>
    <n v="231"/>
    <n v="11"/>
    <s v="2008-05-02T12:37:48Z"/>
  </r>
  <r>
    <s v="mschneider"/>
    <s v="Maximilian Schneider"/>
    <m/>
    <s v="Berlin, Germany"/>
    <s v="mail@maximilianschneider.net"/>
    <x v="0"/>
    <m/>
    <n v="1"/>
    <n v="99"/>
    <n v="230"/>
    <n v="159"/>
    <s v="2009-10-24T17:02:17Z"/>
  </r>
  <r>
    <s v="oleiade"/>
    <s v="ThÃ©o Crevon"/>
    <s v="GRAFANA LABS"/>
    <s v="Berlin"/>
    <m/>
    <x v="1"/>
    <s v="I whisper to computers."/>
    <n v="4"/>
    <n v="77"/>
    <n v="229"/>
    <n v="199"/>
    <s v="2011-03-25T18:15:34Z"/>
  </r>
  <r>
    <s v="robinpokorny"/>
    <s v="Robin Pokorny"/>
    <s v="PRODUCTBOARD"/>
    <s v="Berlin, Germany"/>
    <s v="me@robinpokorny.com"/>
    <x v="1"/>
    <s v="A zealous software engineer"/>
    <n v="4"/>
    <n v="169"/>
    <n v="229"/>
    <n v="87"/>
    <s v="2009-03-29T12:37:37Z"/>
  </r>
  <r>
    <s v="PavelLaptev"/>
    <s v="Pavel Laptev"/>
    <s v="GITBUTLERAPP"/>
    <s v="Berlin, Deutschland"/>
    <s v="pawellaptew@gmail.com"/>
    <x v="1"/>
    <s v="Digital designer, passionate about design, frontend, art, and architecture._x000d__x000a_I create, write, and contribute to the community."/>
    <n v="16"/>
    <n v="84"/>
    <n v="229"/>
    <n v="82"/>
    <s v="2016-04-16T10:59:58Z"/>
  </r>
  <r>
    <s v="froschi"/>
    <s v="Thorsten Fischer"/>
    <m/>
    <s v="Berlin, Germany"/>
    <m/>
    <x v="1"/>
    <m/>
    <n v="1"/>
    <n v="169"/>
    <n v="229"/>
    <n v="2"/>
    <s v="2009-11-20T13:44:54Z"/>
  </r>
  <r>
    <s v="tmylk"/>
    <s v="Lev Konstantinovskiy"/>
    <m/>
    <s v="Berlin, Germany"/>
    <m/>
    <x v="1"/>
    <m/>
    <n v="1"/>
    <n v="43"/>
    <n v="228"/>
    <n v="17"/>
    <s v="2011-12-13T22:19:08Z"/>
  </r>
  <r>
    <s v="EmaSuriano"/>
    <s v="Ema Suriano"/>
    <s v="REVOLUT"/>
    <s v="Berlin, Germany"/>
    <s v="emanuel.suriano@gmail.com"/>
    <x v="0"/>
    <s v="Passionate Engineer driven by all the Javascript ecosystem. On my spare time I like to write and speak publicly"/>
    <n v="19"/>
    <n v="155"/>
    <n v="228"/>
    <n v="21"/>
    <s v="2013-01-27T20:05:30Z"/>
  </r>
  <r>
    <s v="philippkuehn"/>
    <s v="Philipp KÃ¼hn"/>
    <m/>
    <s v="Berlin, Germany"/>
    <s v="hi@philippkuehn.com"/>
    <x v="0"/>
    <s v="former founder tiptap"/>
    <n v="3"/>
    <n v="11"/>
    <n v="228"/>
    <n v="1"/>
    <s v="2012-10-06T14:34:37Z"/>
  </r>
  <r>
    <s v="LeonardoCardoso"/>
    <s v="Leonardo Cardoso"/>
    <s v="TRADEREPUBLIC"/>
    <s v="Berlin"/>
    <m/>
    <x v="1"/>
    <s v="ï£¿ "/>
    <n v="1"/>
    <n v="53"/>
    <n v="227"/>
    <n v="30"/>
    <s v="2012-05-24T18:08:14Z"/>
  </r>
  <r>
    <s v="JeroenDeDauw"/>
    <s v="Jeroen De Dauw"/>
    <s v="PROFESSIONAL.WIKI"/>
    <s v="Berlin"/>
    <s v="jeroendedauw@gmail.com"/>
    <x v="0"/>
    <s v="Professional Wiki Services:_x000d__x000a_https://professional.wiki"/>
    <n v="3"/>
    <n v="294"/>
    <n v="227"/>
    <n v="29"/>
    <s v="2009-10-28T23:11:09Z"/>
  </r>
  <r>
    <s v="zeenix"/>
    <s v="Zeeshan Ali Khan"/>
    <s v="JUCR GMBH"/>
    <s v="Berlin"/>
    <s v="zeenix@gmail.com"/>
    <x v="1"/>
    <s v="Free Software dev, Ecomodernist, into flying &amp; Rust, and love cats."/>
    <n v="11"/>
    <n v="94"/>
    <n v="226"/>
    <n v="1"/>
    <s v="2008-03-03T16:48:06Z"/>
  </r>
  <r>
    <s v="Musti4096"/>
    <s v="Mustafa AK"/>
    <s v="RELAYR"/>
    <s v="Berlin"/>
    <m/>
    <x v="1"/>
    <s v="Jr. DevOps Engineer @relayr "/>
    <n v="4"/>
    <n v="22"/>
    <n v="226"/>
    <n v="141"/>
    <s v="2019-07-27T12:26:59Z"/>
  </r>
  <r>
    <s v="finnp"/>
    <s v="Finn Pauls"/>
    <s v="KARUGAMO AGENCY"/>
    <s v="Porto/Berlin"/>
    <s v="github@pauls.dev"/>
    <x v="0"/>
    <m/>
    <n v="1"/>
    <n v="353"/>
    <n v="226"/>
    <n v="65"/>
    <s v="2011-06-10T09:10:36Z"/>
  </r>
  <r>
    <s v="vecna"/>
    <s v="Claudio Agosti"/>
    <s v="AIFORENSICS @TRACKING-EXPOSED @HERMESCENTER @GLOBALEAKS"/>
    <s v="Lisbon / Berlin / Milan"/>
    <s v="vecna@globaleaks.org"/>
    <x v="1"/>
    <s v="Privacy activist, digital rights developer, board member in @aiforensics and @hermescenter "/>
    <n v="11"/>
    <n v="49"/>
    <n v="225"/>
    <n v="11"/>
    <s v="2009-05-28T14:08:36Z"/>
  </r>
  <r>
    <s v="alfredfrancis"/>
    <s v="Alfred Francis"/>
    <s v="DELIVERYHERO"/>
    <s v="Berlin, Germany"/>
    <m/>
    <x v="0"/>
    <m/>
    <n v="1"/>
    <n v="91"/>
    <n v="224"/>
    <n v="32"/>
    <s v="2012-03-29T07:04:17Z"/>
  </r>
  <r>
    <s v="MichaelKohler"/>
    <s v="Michael Kohler"/>
    <s v="KLARNA"/>
    <s v="Berlin"/>
    <s v="me@michaelkohler.info"/>
    <x v="0"/>
    <s v="Lead Engineer @klarna | Mozilla volunteer | Mozilla Rep Alumni"/>
    <n v="10"/>
    <n v="253"/>
    <n v="223"/>
    <n v="28"/>
    <s v="2010-07-13T03:14:33Z"/>
  </r>
  <r>
    <s v="helmuthdu"/>
    <s v="Helmuth Saatkamp"/>
    <m/>
    <s v="Berlin, Germany"/>
    <s v="helmuthdu@gmail.com"/>
    <x v="0"/>
    <s v="love programming and the simple things of life. ;)"/>
    <n v="9"/>
    <n v="29"/>
    <n v="223"/>
    <n v="3"/>
    <s v="2011-03-18T13:07:13Z"/>
  </r>
  <r>
    <s v="polykit"/>
    <s v="Polykit"/>
    <m/>
    <s v="Berlin"/>
    <s v="github@polykit.rocks"/>
    <x v="1"/>
    <s v="DIY synthesizer related schematics, PCBs and modules"/>
    <n v="7"/>
    <n v="38"/>
    <n v="223"/>
    <n v="44"/>
    <s v="2020-11-20T12:42:41Z"/>
  </r>
  <r>
    <s v="harshil1712"/>
    <s v="Harshil Agrawal"/>
    <s v="CLOUDFLARE"/>
    <s v="Berlin"/>
    <m/>
    <x v="1"/>
    <s v="Experimenting with tech, and sharing my learnings"/>
    <n v="7"/>
    <n v="173"/>
    <n v="222"/>
    <n v="3"/>
    <s v="2016-05-01T13:21:36Z"/>
  </r>
  <r>
    <s v="illume"/>
    <s v="RenÃ© Dudfield"/>
    <s v="MICROSOFT"/>
    <s v="Berlin"/>
    <s v="renesd@gmail.com"/>
    <x v="1"/>
    <s v="Hey hey! I'm RenÃ©, and I make things (like pygame). Using tech like Python, C, JavaScript/TypeScript, React/React Native. I â¤ï¸ data audio reactive video synths."/>
    <n v="25"/>
    <n v="80"/>
    <n v="222"/>
    <n v="14"/>
    <s v="2008-05-07T03:20:42Z"/>
  </r>
  <r>
    <s v="0mp"/>
    <s v="Mateusz Piotrowski"/>
    <m/>
    <s v="Berlin, Germany"/>
    <s v="0mp@FreeBSD.org"/>
    <x v="0"/>
    <s v="@FreeBSD &amp; @OpenZFS"/>
    <n v="3"/>
    <n v="308"/>
    <n v="222"/>
    <n v="515"/>
    <s v="2014-06-24T17:52:23Z"/>
  </r>
  <r>
    <s v="robinboehm"/>
    <s v="Robin BÃ¶hm"/>
    <s v="WORKSHOPS-DE"/>
    <s v="Berlin , Germany"/>
    <s v="robin.boehm@workshops.de"/>
    <x v="0"/>
    <m/>
    <n v="1"/>
    <n v="169"/>
    <n v="221"/>
    <n v="151"/>
    <s v="2011-05-31T10:27:43Z"/>
  </r>
  <r>
    <s v="katiayn"/>
    <s v="KÃ¡tia Nakamura"/>
    <m/>
    <s v="Berlin, Germany"/>
    <s v="me@katia.dev"/>
    <x v="0"/>
    <s v="From ðŸ‡§ðŸ‡· Based in ðŸ‡©ðŸ‡ª MSc Computer Science ðŸŽ“  Django Specialist | Backend Dev ðŸ‘©ðŸ½â€ðŸ’» DSF Board member âœ¨ Travel | Photography | Technology"/>
    <n v="24"/>
    <n v="55"/>
    <n v="220"/>
    <n v="83"/>
    <s v="2015-08-04T23:51:57Z"/>
  </r>
  <r>
    <s v="kurasu"/>
    <s v="Claes Johanson"/>
    <s v="BITWIG"/>
    <s v="Berlin, Germany"/>
    <s v="claes@bitwig.com"/>
    <x v="1"/>
    <s v="One of the founders of @bitwig and vember audio."/>
    <n v="9"/>
    <n v="5"/>
    <n v="220"/>
    <n v="15"/>
    <s v="2014-06-12T14:17:30Z"/>
  </r>
  <r>
    <s v="tunavargi"/>
    <s v="Tuna Vargi"/>
    <s v="DELIVERYHERO"/>
    <s v="Berlin"/>
    <m/>
    <x v="1"/>
    <m/>
    <n v="1"/>
    <n v="27"/>
    <n v="220"/>
    <n v="78"/>
    <s v="2010-12-08T13:38:28Z"/>
  </r>
  <r>
    <s v="miconda"/>
    <s v="Daniel-Constantin Mierla"/>
    <s v="ASIPTO (ASIPTO.COM)"/>
    <s v="Berlin, Germany"/>
    <m/>
    <x v="1"/>
    <s v="Co-Founder Kamailio SIP Server Project (@kamailio). Working for Asipto (@asipto). Open source and RTC advocate."/>
    <n v="15"/>
    <n v="43"/>
    <n v="220"/>
    <n v="0"/>
    <s v="2010-01-18T18:21:22Z"/>
  </r>
  <r>
    <s v="mrchrisadams"/>
    <s v="Chris Adams"/>
    <s v="PRODUCT SCIENCE"/>
    <s v="Berlin, and occasionally London"/>
    <s v="chris@productscience.co.uk"/>
    <x v="1"/>
    <s v="Environmentally focussed tech generalist. User research, product management and strategy, and yes, even code sometimes"/>
    <n v="15"/>
    <n v="239"/>
    <n v="219"/>
    <n v="175"/>
    <s v="2008-07-22T16:00:07Z"/>
  </r>
  <r>
    <s v="mohsenoid"/>
    <s v="Mohsen Mirhoseini"/>
    <s v="FIREWORK"/>
    <s v="Berlin, Germany"/>
    <s v="msn.mirhoseini@gmail.com"/>
    <x v="1"/>
    <s v="Senior Android Developer"/>
    <n v="3"/>
    <n v="105"/>
    <n v="219"/>
    <n v="28"/>
    <s v="2013-08-01T05:57:41Z"/>
  </r>
  <r>
    <s v="tmspzz"/>
    <s v="Tommaso Piazza"/>
    <s v="WIREAPP"/>
    <s v="Berlin, Germany"/>
    <m/>
    <x v="0"/>
    <s v="Works on my machine"/>
    <n v="4"/>
    <n v="55"/>
    <n v="219"/>
    <n v="115"/>
    <s v="2010-02-04T15:09:49Z"/>
  </r>
  <r>
    <s v="tanvir002700"/>
    <s v="Tanvir Hasan Anick"/>
    <s v="ZALANDO"/>
    <s v="Berlin, Germany"/>
    <m/>
    <x v="0"/>
    <m/>
    <n v="1"/>
    <n v="53"/>
    <n v="218"/>
    <n v="14"/>
    <s v="2014-09-10T13:26:22Z"/>
  </r>
  <r>
    <s v="cristianoliveira"/>
    <s v="Cristian Oliveira"/>
    <s v="SUMUP"/>
    <s v="Berlin, Germany"/>
    <s v="public+github@cristianoliveira.com"/>
    <x v="1"/>
    <s v="I've contributed to many important open-source projects. Nothing was merged tho. _x000d__x000a__x000d__x000a_Author of @ClubVim on Twitter."/>
    <n v="16"/>
    <n v="94"/>
    <n v="218"/>
    <n v="240"/>
    <s v="2013-03-25T01:41:57Z"/>
  </r>
  <r>
    <s v="HeyPouya"/>
    <s v="Pouya Heydari"/>
    <s v="SUMUP"/>
    <s v="Berlin, Germany"/>
    <s v="pouyaheydary@gmail.com"/>
    <x v="0"/>
    <s v="ðŸ‘¨â€ðŸ’» Android Engineer @sumup "/>
    <n v="4"/>
    <n v="66"/>
    <n v="217"/>
    <n v="0"/>
    <s v="2015-08-09T15:08:27Z"/>
  </r>
  <r>
    <s v="mymindishazel"/>
    <s v="ember / mint"/>
    <s v="FUNKINCREW"/>
    <s v="Berlin, Germany"/>
    <s v="gh@dissociat.ing"/>
    <x v="1"/>
    <s v="experienced software engineer, devops person (debian, k8s), renowned self-hoster"/>
    <n v="9"/>
    <n v="20"/>
    <n v="217"/>
    <n v="0"/>
    <s v="2017-06-11T18:56:30Z"/>
  </r>
  <r>
    <s v="codeliner"/>
    <s v="Alexander Miertsch"/>
    <s v="PROOPHSOFTWARE"/>
    <s v="Potsdam/Berlin"/>
    <m/>
    <x v="0"/>
    <s v="10+ years PHP and JavaScript developer"/>
    <n v="6"/>
    <n v="73"/>
    <n v="217"/>
    <n v="35"/>
    <s v="2013-07-31T19:15:17Z"/>
  </r>
  <r>
    <s v="rockstaedt"/>
    <s v="Eric RockstÃ¤dt"/>
    <m/>
    <s v="Berlin"/>
    <m/>
    <x v="1"/>
    <s v="Enthusiastic about building digital tools that contribute to a greener future ðŸŒ± "/>
    <n v="12"/>
    <n v="12"/>
    <n v="217"/>
    <n v="436"/>
    <s v="2020-04-22T17:02:15Z"/>
  </r>
  <r>
    <s v="rishimohan"/>
    <s v="Rishi Mohan"/>
    <m/>
    <s v="Berlin"/>
    <s v="iamrishi.ms@gmail.com"/>
    <x v="1"/>
    <s v="Design and Code"/>
    <n v="3"/>
    <n v="35"/>
    <n v="217"/>
    <n v="44"/>
    <s v="2015-08-29T15:50:23Z"/>
  </r>
  <r>
    <s v="myobie"/>
    <s v="Nathan"/>
    <s v="SHAREUP"/>
    <s v="Berlin, Germany"/>
    <s v="me@nathanherald.com"/>
    <x v="1"/>
    <s v="Building new.space"/>
    <n v="2"/>
    <n v="168"/>
    <n v="217"/>
    <n v="48"/>
    <s v="2008-02-11T02:18:45Z"/>
  </r>
  <r>
    <s v="chris-rock"/>
    <s v="Christoph Hartmann"/>
    <s v="MONDOO"/>
    <s v="Berlin, Germany"/>
    <s v="chris@lollyrock.com"/>
    <x v="0"/>
    <s v="Founder of Mondoo, Tech leader, Co-Creator of DevSec and InSpec."/>
    <n v="10"/>
    <n v="179"/>
    <n v="217"/>
    <n v="22"/>
    <s v="2011-11-07T16:38:29Z"/>
  </r>
  <r>
    <s v="khanzadimahdi"/>
    <s v="mahdikhanzadi"/>
    <m/>
    <s v="Germany/Berlin"/>
    <m/>
    <x v="0"/>
    <s v="just a simple programmer."/>
    <n v="4"/>
    <n v="21"/>
    <n v="217"/>
    <n v="108"/>
    <s v="2013-12-31T08:25:23Z"/>
  </r>
  <r>
    <s v="sunsided"/>
    <s v="Markus Mayer"/>
    <s v="MEDIAN-KLINIKEN"/>
    <s v="Berlin"/>
    <m/>
    <x v="0"/>
    <s v="Try all the things! â€” Head of Engineering Digital Health at Median Kliniken"/>
    <n v="13"/>
    <n v="353"/>
    <n v="216"/>
    <n v="155"/>
    <s v="2010-11-24T17:45:13Z"/>
  </r>
  <r>
    <s v="MedRedha"/>
    <s v="Med Redha Khelifi"/>
    <s v="WUUD-TEAM CO-FOUNDER/MOBILE EXPERT"/>
    <s v="Berlin, Germany / Algiers, Algeria"/>
    <s v="redha@wuud-team.com"/>
    <x v="0"/>
    <s v="Mobile alchemist: Turning caffeine into code ðŸ‘¨â€ðŸ’» Debugging by day, dreaming in JavaScript by night. Turning challenges into features, one commit at a time."/>
    <n v="24"/>
    <n v="306"/>
    <n v="216"/>
    <n v="5"/>
    <s v="2019-04-20T20:10:06Z"/>
  </r>
  <r>
    <s v="fabianfett"/>
    <s v="Fabian Fett"/>
    <s v="APPLE"/>
    <s v="Berlin, Germany"/>
    <s v="fabianfett@apple.com"/>
    <x v="1"/>
    <s v="Swift on Server aficionado."/>
    <n v="4"/>
    <n v="37"/>
    <n v="216"/>
    <n v="14"/>
    <s v="2014-02-25T09:33:57Z"/>
  </r>
  <r>
    <s v="durannumit"/>
    <s v="Ãœmit Duran"/>
    <s v="CREDITORNOT"/>
    <s v="Berlin"/>
    <s v="durannumit@gmail.com"/>
    <x v="1"/>
    <s v="Flutter Developer"/>
    <n v="2"/>
    <n v="42"/>
    <n v="216"/>
    <n v="64"/>
    <s v="2015-07-24T13:29:58Z"/>
  </r>
  <r>
    <s v="divyenduz"/>
    <s v="Divyendu Singh"/>
    <m/>
    <s v="Berlin, Germany"/>
    <s v="mail@divyendusingh.com"/>
    <x v="0"/>
    <s v="Learn and build. "/>
    <n v="3"/>
    <n v="28"/>
    <n v="215"/>
    <n v="6"/>
    <s v="2011-04-22T20:14:18Z"/>
  </r>
  <r>
    <s v="cornelius"/>
    <s v="Cornelius Schumacher"/>
    <s v="DB SYSTEL GMBH"/>
    <s v="Berlin, Germany"/>
    <s v="schumacher@kde.org"/>
    <x v="0"/>
    <m/>
    <n v="1"/>
    <n v="106"/>
    <n v="214"/>
    <n v="7"/>
    <s v="2008-09-09T12:42:20Z"/>
  </r>
  <r>
    <s v="anna-carroll"/>
    <s v="Anna Carroll"/>
    <m/>
    <s v="Berlin, Germany"/>
    <m/>
    <x v="1"/>
    <m/>
    <n v="1"/>
    <n v="11"/>
    <n v="213"/>
    <n v="14"/>
    <s v="2015-02-17T20:55:28Z"/>
  </r>
  <r>
    <s v="pierluigiferrari"/>
    <s v="Pierluigi Ferrari"/>
    <m/>
    <s v="Berlin"/>
    <s v="pierluigi.ferrari@gmx.com"/>
    <x v="1"/>
    <m/>
    <n v="1"/>
    <n v="20"/>
    <n v="213"/>
    <n v="0"/>
    <s v="2016-02-23T21:04:10Z"/>
  </r>
  <r>
    <s v="Fluepke"/>
    <s v="FlÃ¼pke (Carl Fabian LÃ¼pke)"/>
    <s v="MOD0"/>
    <s v="Berlin, Germany"/>
    <s v="â˜º@fluep.ke"/>
    <x v="1"/>
    <s v="IT Security Analyst | Former Network Engineer | AS208135 | Scuba Diver"/>
    <n v="12"/>
    <n v="55"/>
    <n v="213"/>
    <n v="11"/>
    <s v="2014-05-06T20:59:48Z"/>
  </r>
  <r>
    <s v="adewes"/>
    <s v="Andreas Dewes"/>
    <m/>
    <s v="Berlin, Germany"/>
    <m/>
    <x v="1"/>
    <m/>
    <n v="1"/>
    <n v="51"/>
    <n v="213"/>
    <n v="98"/>
    <s v="2011-01-06T09:08:16Z"/>
  </r>
  <r>
    <s v="Schaeff"/>
    <s v="Thibaut Schaeffer"/>
    <s v="ZOKRATES @ETHEREUM @PROJECTPROVENANCE"/>
    <s v="Berlin"/>
    <s v="thibaut@schaeff.fr"/>
    <x v="1"/>
    <m/>
    <n v="1"/>
    <n v="53"/>
    <n v="212"/>
    <n v="11"/>
    <s v="2014-04-29T16:40:23Z"/>
  </r>
  <r>
    <s v="luqmanoop"/>
    <s v="Luqman Olushi Opemipo"/>
    <m/>
    <s v="Berlin, Germany"/>
    <s v="olushilukmon03@gmail.com"/>
    <x v="1"/>
    <s v="Learn. Build. Repeat"/>
    <n v="3"/>
    <n v="120"/>
    <n v="212"/>
    <n v="209"/>
    <s v="2013-08-03T12:43:27Z"/>
  </r>
  <r>
    <s v="BenjaminBossan"/>
    <s v="Benjamin Bossan"/>
    <m/>
    <s v="Berlin"/>
    <m/>
    <x v="1"/>
    <m/>
    <n v="1"/>
    <n v="47"/>
    <n v="212"/>
    <n v="5"/>
    <s v="2013-12-20T10:07:50Z"/>
  </r>
  <r>
    <s v="amn41"/>
    <s v="Alan Nichol"/>
    <s v="RASAHQ"/>
    <s v="Berlin"/>
    <s v="alan@rasa.com"/>
    <x v="1"/>
    <s v="co-founder &amp; CTO at @RasaHQ "/>
    <n v="5"/>
    <n v="30"/>
    <n v="211"/>
    <n v="16"/>
    <s v="2013-07-29T15:13:15Z"/>
  </r>
  <r>
    <s v="adzialocha"/>
    <s v="adz"/>
    <m/>
    <s v="Berlin"/>
    <m/>
    <x v="1"/>
    <m/>
    <n v="1"/>
    <n v="64"/>
    <n v="210"/>
    <n v="463"/>
    <s v="2012-06-06T09:54:29Z"/>
  </r>
  <r>
    <s v="natalyapeixoto"/>
    <s v="Natalya Peixoto"/>
    <s v="ZALANDO"/>
    <s v="Berlin"/>
    <m/>
    <x v="0"/>
    <s v="Frontend Developer_x000d__x000a__x000d__x000a_"/>
    <n v="2"/>
    <n v="77"/>
    <n v="210"/>
    <n v="50"/>
    <s v="2018-01-20T12:08:01Z"/>
  </r>
  <r>
    <s v="znarf"/>
    <s v="FranÃ§ois Hodierne"/>
    <s v="OPENCOLLECTIVE"/>
    <s v="Berlin, Germany"/>
    <s v="francois@hodierne.net"/>
    <x v="0"/>
    <s v="French in Berlin. Engineering &amp; CTO @opencollective"/>
    <n v="7"/>
    <n v="48"/>
    <n v="209"/>
    <n v="65"/>
    <s v="2008-02-25T09:47:59Z"/>
  </r>
  <r>
    <s v="mikiobraun"/>
    <s v="Mikio L. Braun"/>
    <s v="SENIOR PRINCIPAL APPLIED SCIENTIST, ZALANDO"/>
    <s v="Berlin, Germany"/>
    <m/>
    <x v="1"/>
    <s v="Helping companies and people put Machine Learning into practice."/>
    <n v="9"/>
    <n v="30"/>
    <n v="209"/>
    <n v="2"/>
    <s v="2009-05-06T09:10:54Z"/>
  </r>
  <r>
    <s v="ogoffart"/>
    <s v="Olivier Goffart"/>
    <s v="SLINT-UI"/>
    <s v="Berlin"/>
    <s v="olivier.goffart@slint.dev"/>
    <x v="1"/>
    <s v="Woboq &amp; Slint co-founder"/>
    <n v="4"/>
    <n v="15"/>
    <n v="208"/>
    <n v="3"/>
    <s v="2011-08-04T15:40:40Z"/>
  </r>
  <r>
    <s v="vadorovsky"/>
    <s v="Michal Rostecki"/>
    <m/>
    <s v="Berlin, Germany"/>
    <m/>
    <x v="1"/>
    <m/>
    <n v="1"/>
    <n v="311"/>
    <n v="208"/>
    <n v="170"/>
    <s v="2017-12-19T14:53:14Z"/>
  </r>
  <r>
    <s v="chootka"/>
    <s v="Sarah"/>
    <s v="COSMICBERLIN"/>
    <s v="New York, NY + Berlin, DE"/>
    <s v="com@chootka.com"/>
    <x v="0"/>
    <m/>
    <n v="1"/>
    <n v="48"/>
    <n v="208"/>
    <n v="120"/>
    <s v="2011-07-27T23:32:06Z"/>
  </r>
  <r>
    <s v="mzaks"/>
    <s v="Maxim Zaks"/>
    <m/>
    <s v="Berlin"/>
    <s v="maxim.zaks@gmail.com"/>
    <x v="1"/>
    <m/>
    <n v="1"/>
    <n v="63"/>
    <n v="207"/>
    <n v="1"/>
    <s v="2010-07-28T15:42:35Z"/>
  </r>
  <r>
    <s v="knutin"/>
    <s v="Knut Nesheim"/>
    <m/>
    <s v="Berlin, Germany"/>
    <s v="knutin@gmail.com"/>
    <x v="1"/>
    <m/>
    <n v="1"/>
    <n v="74"/>
    <n v="206"/>
    <n v="18"/>
    <s v="2010-08-14T17:58:24Z"/>
  </r>
  <r>
    <s v="batin"/>
    <s v="BatÄ±n EryÄ±lmaz"/>
    <s v="TRENDYOL"/>
    <s v="Berlin / Germany"/>
    <s v="batineryilmaz@icloud.com"/>
    <x v="0"/>
    <s v="Formerly:_x000d__x000a_@LeoARApp_x000d__x000a_@Kommunity_x000d__x000a_@svhawks_x000d__x000a_@mojilala"/>
    <n v="1"/>
    <n v="44"/>
    <n v="206"/>
    <n v="145"/>
    <s v="2017-12-27T23:29:07Z"/>
  </r>
  <r>
    <s v="reactormonk"/>
    <s v="Simon Hafner"/>
    <m/>
    <s v="Berlin"/>
    <m/>
    <x v="0"/>
    <m/>
    <n v="1"/>
    <n v="234"/>
    <n v="205"/>
    <n v="43"/>
    <s v="2009-01-25T19:32:13Z"/>
  </r>
  <r>
    <s v="nulltea"/>
    <s v="timofey"/>
    <s v="RESEARCH ENGINEER @CHAINSAFE"/>
    <s v="Berlin"/>
    <s v="timofey.luin@gmail.com"/>
    <x v="0"/>
    <m/>
    <n v="1"/>
    <n v="73"/>
    <n v="205"/>
    <n v="119"/>
    <s v="2016-11-06T14:59:23Z"/>
  </r>
  <r>
    <s v="Shpota"/>
    <s v="Sasha Shpota"/>
    <m/>
    <s v="Berlin"/>
    <m/>
    <x v="0"/>
    <s v="_x000d__x000a_Builder_x000d__x000a__x000d__x000a_ðŸ‘¨â€ðŸ’»: Kotlin, TypeScript, Node.js, Rust, Go_x000d__x000a__x000d__x000a__x000d__x000a_"/>
    <n v="6"/>
    <n v="34"/>
    <n v="205"/>
    <n v="90"/>
    <s v="2013-10-08T18:33:42Z"/>
  </r>
  <r>
    <s v="holgerd77"/>
    <s v="Holger Drewes"/>
    <m/>
    <s v="Berlin"/>
    <m/>
    <x v="1"/>
    <m/>
    <n v="1"/>
    <n v="62"/>
    <n v="204"/>
    <n v="43"/>
    <s v="2011-07-21T21:15:14Z"/>
  </r>
  <r>
    <s v="Dineshkarthik"/>
    <s v="DK"/>
    <s v="TESLA"/>
    <s v="Berlin, Germany"/>
    <m/>
    <x v="1"/>
    <s v="Pythonista, Data Geek"/>
    <n v="3"/>
    <n v="42"/>
    <n v="202"/>
    <n v="16"/>
    <s v="2014-05-31T06:00:24Z"/>
  </r>
  <r>
    <s v="zutrinken"/>
    <m/>
    <s v="MOBILE.DE GMBH"/>
    <s v="Berlin, Germany"/>
    <m/>
    <x v="1"/>
    <s v=" Í°ÍŸÒ‰ÍŸÒ‰ÍŸÒ‰ÍŸÒ‰ÍŸÒ‰ÍŸÒ‰Í°ÍŸÒ‰ÍŸÒ‰ÍŸÒ‰ÍŸÒ‰ÍŸÒ‰ÍŸÒ‰Ù‡ÒˆÌ¿ÒˆÌ¿ÒˆÌ¿ÒˆÌ¿ÒˆÌ¿ÒˆÌ¿ÒˆÌ¿ÒˆÌ¿ÒˆÌ¿ÒˆÌ¿ÒˆÌ¿ÒˆÌ¿ÒˆÌ¿ÒˆÌ¿ÒˆÍ°ÍŸÒ‰ÍŸÒ‰ÍŸÒ‰ÍŸÒ‰ÍŸÒ‰ÍŸÒ‰Í°Ò‰ÍžÒ‰ÍŸÒ‰ÍžÒ‰ÍŸÒ‰ÍžÒ‰ÍŸÒ‰ÍžÒ‰ÍŸÍ°Ò‰Ì…Ò‰Ì…Ò‰Ì…Ò‰Ì…Ò‰Ì…Í°ÒˆÌŸÒˆÌŸÒˆÌŸÒˆÌŸÒˆÌŸÒˆÌŸÒˆÌŸÒˆÌŸÒˆÌŸÒˆÍ°Ò‰Ì…Ò‰Ì…Ò‰Ì…Ò‰Ì…Ò‰Ì…Í°ÍŸÒ‰ÍŸÒ‰ÍŸÒ‰ÍŸÒ‰ÍŸÒ‰ÍŸ_x000d__x000a_ÙÌ¶Ì¶Ì·ÌµÌ¡ÒˆÌ§ÌÍ˜Í ÒˆÍÍÌ·Ì´Ì´"/>
    <n v="1"/>
    <n v="13"/>
    <n v="202"/>
    <n v="23"/>
    <s v="2011-07-01T12:57:31Z"/>
  </r>
  <r>
    <s v="mustafaozhan"/>
    <s v="Mustafa Ozhan"/>
    <s v="WETTERCOM"/>
    <s v="Berlin, Germany"/>
    <s v="mr.mustafa.ozhan@gmail.com"/>
    <x v="1"/>
    <s v="Mobile Development Teamlead"/>
    <n v="3"/>
    <n v="30"/>
    <n v="202"/>
    <n v="92"/>
    <s v="2017-07-08T12:58:39Z"/>
  </r>
  <r>
    <s v="nmicht"/>
    <s v="Michelle Torres"/>
    <m/>
    <s v="Berlin, Germany"/>
    <s v="hi@michelletorres.dev"/>
    <x v="0"/>
    <s v="Engineering Leader â€¢ Teacher â€¢ Speaker â€¢ Free &amp; Open Source advocate"/>
    <n v="12"/>
    <n v="100"/>
    <n v="202"/>
    <n v="19"/>
    <s v="2012-05-17T19:50:48Z"/>
  </r>
  <r>
    <s v="carlosmn"/>
    <s v="Carlos MartÃ­n Nieto"/>
    <s v="GITHUB"/>
    <s v="Berlin"/>
    <s v="cmn@dwim.me"/>
    <x v="1"/>
    <m/>
    <n v="1"/>
    <n v="92"/>
    <n v="202"/>
    <n v="6"/>
    <s v="2010-07-18T10:48:31Z"/>
  </r>
  <r>
    <s v="roquebuarquejr"/>
    <s v="Roque Buarque Junior"/>
    <s v="SPOTIFY"/>
    <s v="Berlin - Germany"/>
    <m/>
    <x v="1"/>
    <m/>
    <n v="1"/>
    <n v="27"/>
    <n v="201"/>
    <n v="8"/>
    <s v="2015-03-23T12:05:36Z"/>
  </r>
  <r>
    <s v="dmstern"/>
    <s v="Daniel Morgenstern"/>
    <s v="]INIT[ AG FÃœR DIGITALE KOMMUNIKATION"/>
    <s v="Berlin"/>
    <s v="morgenstern.daniel@gmail.com"/>
    <x v="1"/>
    <s v=" Passionate web developer from Berlin."/>
    <n v="5"/>
    <n v="43"/>
    <n v="201"/>
    <n v="76"/>
    <s v="2013-08-13T07:29:46Z"/>
  </r>
  <r>
    <s v="Robbepop"/>
    <s v="Robin Freyler"/>
    <m/>
    <s v="Berlin"/>
    <s v="robin.freyler@gmail.com"/>
    <x v="1"/>
    <s v="ðŸ¦€Rustacean with C &amp; C++ origins - Enthusiastic about WebAssembly, compiler technology, virtual machines &amp; SAT solving."/>
    <n v="17"/>
    <n v="135"/>
    <n v="201"/>
    <n v="148"/>
    <s v="2014-07-17T16:18:29Z"/>
  </r>
  <r>
    <s v="soulshake"/>
    <s v="AJ Bowen"/>
    <s v="QUANTGENE"/>
    <s v="Berlin, Germany"/>
    <m/>
    <x v="0"/>
    <s v="Cloud Operations Engineer"/>
    <n v="3"/>
    <n v="187"/>
    <n v="201"/>
    <n v="152"/>
    <s v="2012-03-29T04:04:57Z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7EB83A-564A-4E09-A95F-167FFC7302C4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/>
  <pivotFields count="12"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Average of following" fld="10" subtotal="average" baseField="5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81F86-B959-4D17-8BB2-7D63F6718832}">
  <dimension ref="A3:B6"/>
  <sheetViews>
    <sheetView workbookViewId="0">
      <selection activeCell="F6" sqref="F6"/>
    </sheetView>
  </sheetViews>
  <sheetFormatPr defaultRowHeight="14.4" x14ac:dyDescent="0.3"/>
  <cols>
    <col min="1" max="1" width="12.5546875" bestFit="1" customWidth="1"/>
    <col min="2" max="2" width="18.5546875" bestFit="1" customWidth="1"/>
  </cols>
  <sheetData>
    <row r="3" spans="1:2" x14ac:dyDescent="0.3">
      <c r="A3" s="2" t="s">
        <v>2904</v>
      </c>
      <c r="B3" t="s">
        <v>2908</v>
      </c>
    </row>
    <row r="4" spans="1:2" x14ac:dyDescent="0.3">
      <c r="A4" s="3" t="s">
        <v>2905</v>
      </c>
      <c r="B4" s="4">
        <v>152.57826086956521</v>
      </c>
    </row>
    <row r="5" spans="1:2" x14ac:dyDescent="0.3">
      <c r="A5" s="3" t="s">
        <v>2906</v>
      </c>
      <c r="B5" s="4">
        <v>105.1078167115903</v>
      </c>
    </row>
    <row r="6" spans="1:2" x14ac:dyDescent="0.3">
      <c r="A6" s="3" t="s">
        <v>2907</v>
      </c>
      <c r="B6" s="4">
        <v>123.27454242928452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F556-BD54-4967-BE80-0DFEEC860EB4}">
  <dimension ref="A1:U602"/>
  <sheetViews>
    <sheetView workbookViewId="0">
      <selection activeCell="S2" sqref="S2"/>
    </sheetView>
  </sheetViews>
  <sheetFormatPr defaultRowHeight="14.4" x14ac:dyDescent="0.3"/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2902</v>
      </c>
      <c r="I1" t="s">
        <v>7</v>
      </c>
      <c r="J1" t="s">
        <v>8</v>
      </c>
      <c r="K1" t="s">
        <v>9</v>
      </c>
      <c r="L1" t="s">
        <v>10</v>
      </c>
    </row>
    <row r="2" spans="1:21" ht="331.2" x14ac:dyDescent="0.3">
      <c r="A2" t="s">
        <v>11</v>
      </c>
      <c r="B2" t="s">
        <v>12</v>
      </c>
      <c r="D2" t="s">
        <v>13</v>
      </c>
      <c r="E2" t="s">
        <v>14</v>
      </c>
      <c r="F2" t="b">
        <v>1</v>
      </c>
      <c r="G2" s="1" t="s">
        <v>15</v>
      </c>
      <c r="H2" s="1">
        <f>LEN(TRIM(G2))-LEN(SUBSTITUTE(TRIM(G2)," ",""))+1</f>
        <v>23</v>
      </c>
      <c r="I2">
        <v>73</v>
      </c>
      <c r="J2">
        <v>26445</v>
      </c>
      <c r="K2">
        <v>3</v>
      </c>
      <c r="L2" t="s">
        <v>16</v>
      </c>
      <c r="P2">
        <f>AVERAGEIF(F2:F602, "true", K2:K602) - AVERAGEIF(F2:F602, "", K2:K602)</f>
        <v>47.47044415797491</v>
      </c>
      <c r="Q2">
        <f>AVERAGEIF(F2:F602, "TRUE", K2:K602)</f>
        <v>152.57826086956521</v>
      </c>
      <c r="R2">
        <f>SLOPE(J2:J602,H2:H602)</f>
        <v>25.031335851900014</v>
      </c>
      <c r="S2">
        <f>AVERAGEIF(F2:F602, "&lt;&gt;TRUE", K2:K602)</f>
        <v>105.1078167115903</v>
      </c>
      <c r="T2">
        <f>SLOPE(J2:J602,H2:H602)</f>
        <v>25.031335851900014</v>
      </c>
      <c r="U2">
        <f>ROUND(
    AVERAGEIF(F2:F602, "true", K2:K602) -
    AVERAGEIFS(K2:K602, F2:F602, ""), 3)</f>
        <v>47.47</v>
      </c>
    </row>
    <row r="3" spans="1:21" x14ac:dyDescent="0.3">
      <c r="A3" t="s">
        <v>17</v>
      </c>
      <c r="B3" t="s">
        <v>18</v>
      </c>
      <c r="C3" t="s">
        <v>19</v>
      </c>
      <c r="D3" t="s">
        <v>13</v>
      </c>
      <c r="E3" t="s">
        <v>20</v>
      </c>
      <c r="H3" s="1">
        <f t="shared" ref="H3:H66" si="0">LEN(TRIM(G3))-LEN(SUBSTITUTE(TRIM(G3)," ",""))+1</f>
        <v>1</v>
      </c>
      <c r="I3">
        <v>215</v>
      </c>
      <c r="J3">
        <v>13757</v>
      </c>
      <c r="K3">
        <v>26</v>
      </c>
      <c r="L3" t="s">
        <v>21</v>
      </c>
    </row>
    <row r="4" spans="1:21" x14ac:dyDescent="0.3">
      <c r="A4" t="s">
        <v>22</v>
      </c>
      <c r="B4" t="s">
        <v>23</v>
      </c>
      <c r="D4" t="s">
        <v>24</v>
      </c>
      <c r="F4" t="b">
        <v>1</v>
      </c>
      <c r="G4" t="s">
        <v>25</v>
      </c>
      <c r="H4" s="1">
        <f t="shared" si="0"/>
        <v>23</v>
      </c>
      <c r="I4">
        <v>151</v>
      </c>
      <c r="J4">
        <v>8618</v>
      </c>
      <c r="K4">
        <v>30</v>
      </c>
      <c r="L4" t="s">
        <v>26</v>
      </c>
      <c r="R4">
        <f>Q2-S2</f>
        <v>47.47044415797491</v>
      </c>
    </row>
    <row r="5" spans="1:21" x14ac:dyDescent="0.3">
      <c r="A5" t="s">
        <v>27</v>
      </c>
      <c r="B5" t="s">
        <v>28</v>
      </c>
      <c r="C5" t="s">
        <v>29</v>
      </c>
      <c r="D5" t="s">
        <v>30</v>
      </c>
      <c r="E5" t="s">
        <v>31</v>
      </c>
      <c r="G5" t="s">
        <v>32</v>
      </c>
      <c r="H5" s="1">
        <f t="shared" si="0"/>
        <v>9</v>
      </c>
      <c r="I5">
        <v>149</v>
      </c>
      <c r="J5">
        <v>6756</v>
      </c>
      <c r="K5">
        <v>345</v>
      </c>
      <c r="L5" t="s">
        <v>33</v>
      </c>
    </row>
    <row r="6" spans="1:21" x14ac:dyDescent="0.3">
      <c r="A6" t="s">
        <v>34</v>
      </c>
      <c r="B6" t="s">
        <v>35</v>
      </c>
      <c r="C6" t="s">
        <v>36</v>
      </c>
      <c r="D6" t="s">
        <v>13</v>
      </c>
      <c r="E6" t="s">
        <v>37</v>
      </c>
      <c r="F6" t="b">
        <v>1</v>
      </c>
      <c r="G6" t="s">
        <v>38</v>
      </c>
      <c r="H6" s="1">
        <f t="shared" si="0"/>
        <v>20</v>
      </c>
      <c r="I6">
        <v>79</v>
      </c>
      <c r="J6">
        <v>6716</v>
      </c>
      <c r="K6">
        <v>85</v>
      </c>
      <c r="L6" t="s">
        <v>39</v>
      </c>
      <c r="P6">
        <f>COUNTIF(F2:F602, "true")</f>
        <v>230</v>
      </c>
      <c r="R6">
        <f>COUNTIF(F2:F602, "")</f>
        <v>371</v>
      </c>
    </row>
    <row r="7" spans="1:21" x14ac:dyDescent="0.3">
      <c r="A7" t="s">
        <v>40</v>
      </c>
      <c r="B7" t="s">
        <v>41</v>
      </c>
      <c r="C7" t="s">
        <v>42</v>
      </c>
      <c r="D7" t="s">
        <v>30</v>
      </c>
      <c r="E7" t="s">
        <v>43</v>
      </c>
      <c r="G7" t="s">
        <v>44</v>
      </c>
      <c r="H7" s="1">
        <f t="shared" si="0"/>
        <v>4</v>
      </c>
      <c r="I7">
        <v>54</v>
      </c>
      <c r="J7">
        <v>6523</v>
      </c>
      <c r="K7">
        <v>0</v>
      </c>
      <c r="L7" t="s">
        <v>45</v>
      </c>
      <c r="P7">
        <f>SUMIF(F2:F602, "true", K2:K602)</f>
        <v>35093</v>
      </c>
      <c r="R7">
        <f>SUMIF(F2:F602, "", K2:K602)</f>
        <v>38995</v>
      </c>
    </row>
    <row r="8" spans="1:21" x14ac:dyDescent="0.3">
      <c r="A8" t="s">
        <v>46</v>
      </c>
      <c r="B8" t="s">
        <v>47</v>
      </c>
      <c r="D8" t="s">
        <v>13</v>
      </c>
      <c r="G8" t="s">
        <v>48</v>
      </c>
      <c r="H8" s="1">
        <f t="shared" si="0"/>
        <v>5</v>
      </c>
      <c r="I8">
        <v>7</v>
      </c>
      <c r="J8">
        <v>6460</v>
      </c>
      <c r="K8">
        <v>6909</v>
      </c>
      <c r="L8" t="s">
        <v>49</v>
      </c>
    </row>
    <row r="9" spans="1:21" x14ac:dyDescent="0.3">
      <c r="A9" t="s">
        <v>50</v>
      </c>
      <c r="B9" t="s">
        <v>51</v>
      </c>
      <c r="C9" t="s">
        <v>52</v>
      </c>
      <c r="D9" t="s">
        <v>13</v>
      </c>
      <c r="E9" t="s">
        <v>53</v>
      </c>
      <c r="H9" s="1">
        <f t="shared" si="0"/>
        <v>1</v>
      </c>
      <c r="I9">
        <v>110</v>
      </c>
      <c r="J9">
        <v>6232</v>
      </c>
      <c r="K9">
        <v>25</v>
      </c>
      <c r="L9" t="s">
        <v>54</v>
      </c>
      <c r="P9">
        <f>P7/P6</f>
        <v>152.57826086956521</v>
      </c>
      <c r="R9">
        <f>R7/R6</f>
        <v>105.1078167115903</v>
      </c>
    </row>
    <row r="10" spans="1:21" x14ac:dyDescent="0.3">
      <c r="A10" t="s">
        <v>55</v>
      </c>
      <c r="B10" t="s">
        <v>56</v>
      </c>
      <c r="C10" t="s">
        <v>57</v>
      </c>
      <c r="D10" t="s">
        <v>30</v>
      </c>
      <c r="F10" t="b">
        <v>1</v>
      </c>
      <c r="G10" t="s">
        <v>58</v>
      </c>
      <c r="H10" s="1">
        <f t="shared" si="0"/>
        <v>10</v>
      </c>
      <c r="I10">
        <v>22</v>
      </c>
      <c r="J10">
        <v>5506</v>
      </c>
      <c r="K10">
        <v>4</v>
      </c>
      <c r="L10" t="s">
        <v>59</v>
      </c>
    </row>
    <row r="11" spans="1:21" x14ac:dyDescent="0.3">
      <c r="A11" t="s">
        <v>60</v>
      </c>
      <c r="B11" t="s">
        <v>61</v>
      </c>
      <c r="C11" t="s">
        <v>62</v>
      </c>
      <c r="D11" t="s">
        <v>13</v>
      </c>
      <c r="E11" t="s">
        <v>63</v>
      </c>
      <c r="F11" t="b">
        <v>1</v>
      </c>
      <c r="G11" t="s">
        <v>64</v>
      </c>
      <c r="H11" s="1">
        <f t="shared" si="0"/>
        <v>3</v>
      </c>
      <c r="I11">
        <v>32</v>
      </c>
      <c r="J11">
        <v>5466</v>
      </c>
      <c r="K11">
        <v>6</v>
      </c>
      <c r="L11" t="s">
        <v>65</v>
      </c>
    </row>
    <row r="12" spans="1:21" x14ac:dyDescent="0.3">
      <c r="A12" t="s">
        <v>66</v>
      </c>
      <c r="B12" t="s">
        <v>67</v>
      </c>
      <c r="D12" t="s">
        <v>68</v>
      </c>
      <c r="E12" t="s">
        <v>69</v>
      </c>
      <c r="G12" t="s">
        <v>70</v>
      </c>
      <c r="H12" s="1">
        <f t="shared" si="0"/>
        <v>6</v>
      </c>
      <c r="I12">
        <v>48</v>
      </c>
      <c r="J12">
        <v>5294</v>
      </c>
      <c r="K12">
        <v>0</v>
      </c>
      <c r="L12" t="s">
        <v>71</v>
      </c>
      <c r="P12">
        <f>P9-R9</f>
        <v>47.47044415797491</v>
      </c>
    </row>
    <row r="13" spans="1:21" x14ac:dyDescent="0.3">
      <c r="A13" t="s">
        <v>72</v>
      </c>
      <c r="B13" t="s">
        <v>73</v>
      </c>
      <c r="D13" t="s">
        <v>13</v>
      </c>
      <c r="E13" t="s">
        <v>74</v>
      </c>
      <c r="H13" s="1">
        <f t="shared" si="0"/>
        <v>1</v>
      </c>
      <c r="I13">
        <v>115</v>
      </c>
      <c r="J13">
        <v>5080</v>
      </c>
      <c r="K13">
        <v>42</v>
      </c>
      <c r="L13" t="s">
        <v>75</v>
      </c>
    </row>
    <row r="14" spans="1:21" x14ac:dyDescent="0.3">
      <c r="A14" t="s">
        <v>76</v>
      </c>
      <c r="B14" t="s">
        <v>77</v>
      </c>
      <c r="C14" t="s">
        <v>78</v>
      </c>
      <c r="D14" t="s">
        <v>13</v>
      </c>
      <c r="F14" t="b">
        <v>1</v>
      </c>
      <c r="H14" s="1">
        <f t="shared" si="0"/>
        <v>1</v>
      </c>
      <c r="I14">
        <v>285</v>
      </c>
      <c r="J14">
        <v>4040</v>
      </c>
      <c r="K14">
        <v>14</v>
      </c>
      <c r="L14" t="s">
        <v>79</v>
      </c>
    </row>
    <row r="15" spans="1:21" x14ac:dyDescent="0.3">
      <c r="A15" t="s">
        <v>80</v>
      </c>
      <c r="B15" t="s">
        <v>81</v>
      </c>
      <c r="C15" t="s">
        <v>82</v>
      </c>
      <c r="D15" t="s">
        <v>13</v>
      </c>
      <c r="F15" t="b">
        <v>1</v>
      </c>
      <c r="G15" t="s">
        <v>83</v>
      </c>
      <c r="H15" s="1">
        <f t="shared" si="0"/>
        <v>7</v>
      </c>
      <c r="I15">
        <v>129</v>
      </c>
      <c r="J15">
        <v>3936</v>
      </c>
      <c r="K15">
        <v>0</v>
      </c>
      <c r="L15" t="s">
        <v>84</v>
      </c>
    </row>
    <row r="16" spans="1:21" x14ac:dyDescent="0.3">
      <c r="A16" t="s">
        <v>85</v>
      </c>
      <c r="B16" t="s">
        <v>86</v>
      </c>
      <c r="C16" t="s">
        <v>87</v>
      </c>
      <c r="D16" t="s">
        <v>13</v>
      </c>
      <c r="E16" t="s">
        <v>88</v>
      </c>
      <c r="G16" t="s">
        <v>89</v>
      </c>
      <c r="H16" s="1">
        <f t="shared" si="0"/>
        <v>2</v>
      </c>
      <c r="I16">
        <v>106</v>
      </c>
      <c r="J16">
        <v>3859</v>
      </c>
      <c r="K16">
        <v>36</v>
      </c>
      <c r="L16" t="s">
        <v>90</v>
      </c>
    </row>
    <row r="17" spans="1:12" ht="302.39999999999998" x14ac:dyDescent="0.3">
      <c r="A17" t="s">
        <v>91</v>
      </c>
      <c r="B17" t="s">
        <v>92</v>
      </c>
      <c r="C17" t="s">
        <v>93</v>
      </c>
      <c r="D17" t="s">
        <v>13</v>
      </c>
      <c r="E17" t="s">
        <v>94</v>
      </c>
      <c r="G17" s="1" t="s">
        <v>95</v>
      </c>
      <c r="H17" s="1">
        <f t="shared" si="0"/>
        <v>20</v>
      </c>
      <c r="I17">
        <v>19</v>
      </c>
      <c r="J17">
        <v>3819</v>
      </c>
      <c r="K17">
        <v>1</v>
      </c>
      <c r="L17" t="s">
        <v>96</v>
      </c>
    </row>
    <row r="18" spans="1:12" x14ac:dyDescent="0.3">
      <c r="A18" t="s">
        <v>97</v>
      </c>
      <c r="B18" t="s">
        <v>98</v>
      </c>
      <c r="C18" t="s">
        <v>62</v>
      </c>
      <c r="D18" t="s">
        <v>13</v>
      </c>
      <c r="E18" t="s">
        <v>99</v>
      </c>
      <c r="G18" t="s">
        <v>100</v>
      </c>
      <c r="H18" s="1">
        <f t="shared" si="0"/>
        <v>7</v>
      </c>
      <c r="I18">
        <v>73</v>
      </c>
      <c r="J18">
        <v>3721</v>
      </c>
      <c r="K18">
        <v>11</v>
      </c>
      <c r="L18" t="s">
        <v>101</v>
      </c>
    </row>
    <row r="19" spans="1:12" x14ac:dyDescent="0.3">
      <c r="A19" t="s">
        <v>102</v>
      </c>
      <c r="B19" t="s">
        <v>103</v>
      </c>
      <c r="D19" t="s">
        <v>104</v>
      </c>
      <c r="E19" t="s">
        <v>105</v>
      </c>
      <c r="G19" t="s">
        <v>106</v>
      </c>
      <c r="H19" s="1">
        <f t="shared" si="0"/>
        <v>8</v>
      </c>
      <c r="I19">
        <v>175</v>
      </c>
      <c r="J19">
        <v>3635</v>
      </c>
      <c r="K19">
        <v>0</v>
      </c>
      <c r="L19" t="s">
        <v>107</v>
      </c>
    </row>
    <row r="20" spans="1:12" x14ac:dyDescent="0.3">
      <c r="A20" t="s">
        <v>108</v>
      </c>
      <c r="B20" t="s">
        <v>109</v>
      </c>
      <c r="C20" t="s">
        <v>110</v>
      </c>
      <c r="D20" t="s">
        <v>30</v>
      </c>
      <c r="E20" t="s">
        <v>111</v>
      </c>
      <c r="G20" t="s">
        <v>112</v>
      </c>
      <c r="H20" s="1">
        <f t="shared" si="0"/>
        <v>17</v>
      </c>
      <c r="I20">
        <v>105</v>
      </c>
      <c r="J20">
        <v>3609</v>
      </c>
      <c r="K20">
        <v>10</v>
      </c>
      <c r="L20" t="s">
        <v>113</v>
      </c>
    </row>
    <row r="21" spans="1:12" x14ac:dyDescent="0.3">
      <c r="A21" t="s">
        <v>114</v>
      </c>
      <c r="B21" t="s">
        <v>115</v>
      </c>
      <c r="D21" t="s">
        <v>116</v>
      </c>
      <c r="E21" t="s">
        <v>117</v>
      </c>
      <c r="G21" t="s">
        <v>118</v>
      </c>
      <c r="H21" s="1">
        <f t="shared" si="0"/>
        <v>6</v>
      </c>
      <c r="I21">
        <v>152</v>
      </c>
      <c r="J21">
        <v>3562</v>
      </c>
      <c r="K21">
        <v>0</v>
      </c>
      <c r="L21" t="s">
        <v>119</v>
      </c>
    </row>
    <row r="22" spans="1:12" x14ac:dyDescent="0.3">
      <c r="A22" t="s">
        <v>120</v>
      </c>
      <c r="B22" t="s">
        <v>121</v>
      </c>
      <c r="C22" t="s">
        <v>122</v>
      </c>
      <c r="D22" t="s">
        <v>13</v>
      </c>
      <c r="E22" t="s">
        <v>123</v>
      </c>
      <c r="F22" t="b">
        <v>1</v>
      </c>
      <c r="G22" t="s">
        <v>124</v>
      </c>
      <c r="H22" s="1">
        <f t="shared" si="0"/>
        <v>15</v>
      </c>
      <c r="I22">
        <v>51</v>
      </c>
      <c r="J22">
        <v>3227</v>
      </c>
      <c r="K22">
        <v>5565</v>
      </c>
      <c r="L22" t="s">
        <v>125</v>
      </c>
    </row>
    <row r="23" spans="1:12" x14ac:dyDescent="0.3">
      <c r="A23" t="s">
        <v>126</v>
      </c>
      <c r="B23" t="s">
        <v>127</v>
      </c>
      <c r="D23" t="s">
        <v>30</v>
      </c>
      <c r="G23" t="s">
        <v>128</v>
      </c>
      <c r="H23" s="1">
        <f t="shared" si="0"/>
        <v>9</v>
      </c>
      <c r="I23">
        <v>56</v>
      </c>
      <c r="J23">
        <v>3115</v>
      </c>
      <c r="K23">
        <v>0</v>
      </c>
      <c r="L23" t="s">
        <v>129</v>
      </c>
    </row>
    <row r="24" spans="1:12" ht="158.4" x14ac:dyDescent="0.3">
      <c r="A24" t="s">
        <v>130</v>
      </c>
      <c r="B24" t="s">
        <v>131</v>
      </c>
      <c r="C24" t="s">
        <v>132</v>
      </c>
      <c r="D24" t="s">
        <v>30</v>
      </c>
      <c r="E24" t="s">
        <v>133</v>
      </c>
      <c r="F24" t="b">
        <v>1</v>
      </c>
      <c r="G24" s="1" t="s">
        <v>134</v>
      </c>
      <c r="H24" s="1">
        <f t="shared" si="0"/>
        <v>4</v>
      </c>
      <c r="I24">
        <v>44</v>
      </c>
      <c r="J24">
        <v>3069</v>
      </c>
      <c r="K24">
        <v>50</v>
      </c>
      <c r="L24" t="s">
        <v>135</v>
      </c>
    </row>
    <row r="25" spans="1:12" x14ac:dyDescent="0.3">
      <c r="A25" t="s">
        <v>136</v>
      </c>
      <c r="B25" t="s">
        <v>137</v>
      </c>
      <c r="C25" t="s">
        <v>138</v>
      </c>
      <c r="D25" t="s">
        <v>30</v>
      </c>
      <c r="G25" t="s">
        <v>139</v>
      </c>
      <c r="H25" s="1">
        <f t="shared" si="0"/>
        <v>12</v>
      </c>
      <c r="I25">
        <v>51</v>
      </c>
      <c r="J25">
        <v>2991</v>
      </c>
      <c r="K25">
        <v>0</v>
      </c>
      <c r="L25" t="s">
        <v>140</v>
      </c>
    </row>
    <row r="26" spans="1:12" x14ac:dyDescent="0.3">
      <c r="A26" t="s">
        <v>141</v>
      </c>
      <c r="B26" t="s">
        <v>142</v>
      </c>
      <c r="C26" t="s">
        <v>143</v>
      </c>
      <c r="D26" t="s">
        <v>30</v>
      </c>
      <c r="E26" t="s">
        <v>144</v>
      </c>
      <c r="G26" t="s">
        <v>145</v>
      </c>
      <c r="H26" s="1">
        <f t="shared" si="0"/>
        <v>16</v>
      </c>
      <c r="I26">
        <v>200</v>
      </c>
      <c r="J26">
        <v>2922</v>
      </c>
      <c r="K26">
        <v>5</v>
      </c>
      <c r="L26" t="s">
        <v>146</v>
      </c>
    </row>
    <row r="27" spans="1:12" x14ac:dyDescent="0.3">
      <c r="A27" t="s">
        <v>147</v>
      </c>
      <c r="B27" t="s">
        <v>148</v>
      </c>
      <c r="D27" t="s">
        <v>13</v>
      </c>
      <c r="E27" t="s">
        <v>149</v>
      </c>
      <c r="G27" t="s">
        <v>150</v>
      </c>
      <c r="H27" s="1">
        <f t="shared" si="0"/>
        <v>18</v>
      </c>
      <c r="I27">
        <v>319</v>
      </c>
      <c r="J27">
        <v>2717</v>
      </c>
      <c r="K27">
        <v>6</v>
      </c>
      <c r="L27" t="s">
        <v>151</v>
      </c>
    </row>
    <row r="28" spans="1:12" x14ac:dyDescent="0.3">
      <c r="A28" t="s">
        <v>152</v>
      </c>
      <c r="B28" t="s">
        <v>153</v>
      </c>
      <c r="D28" t="s">
        <v>13</v>
      </c>
      <c r="E28" t="s">
        <v>154</v>
      </c>
      <c r="F28" t="b">
        <v>1</v>
      </c>
      <c r="G28" t="s">
        <v>155</v>
      </c>
      <c r="H28" s="1">
        <f t="shared" si="0"/>
        <v>10</v>
      </c>
      <c r="I28">
        <v>42</v>
      </c>
      <c r="J28">
        <v>2654</v>
      </c>
      <c r="K28">
        <v>19</v>
      </c>
      <c r="L28" t="s">
        <v>156</v>
      </c>
    </row>
    <row r="29" spans="1:12" x14ac:dyDescent="0.3">
      <c r="A29" t="s">
        <v>157</v>
      </c>
      <c r="B29" t="s">
        <v>158</v>
      </c>
      <c r="D29" t="s">
        <v>30</v>
      </c>
      <c r="E29" t="s">
        <v>159</v>
      </c>
      <c r="H29" s="1">
        <f t="shared" si="0"/>
        <v>1</v>
      </c>
      <c r="I29">
        <v>148</v>
      </c>
      <c r="J29">
        <v>2484</v>
      </c>
      <c r="K29">
        <v>38</v>
      </c>
      <c r="L29" t="s">
        <v>160</v>
      </c>
    </row>
    <row r="30" spans="1:12" x14ac:dyDescent="0.3">
      <c r="A30" t="s">
        <v>161</v>
      </c>
      <c r="B30" t="s">
        <v>162</v>
      </c>
      <c r="C30" t="s">
        <v>163</v>
      </c>
      <c r="D30" t="s">
        <v>30</v>
      </c>
      <c r="E30" t="s">
        <v>164</v>
      </c>
      <c r="G30" t="s">
        <v>165</v>
      </c>
      <c r="H30" s="1">
        <f t="shared" si="0"/>
        <v>7</v>
      </c>
      <c r="I30">
        <v>20</v>
      </c>
      <c r="J30">
        <v>2474</v>
      </c>
      <c r="K30">
        <v>0</v>
      </c>
      <c r="L30" t="s">
        <v>166</v>
      </c>
    </row>
    <row r="31" spans="1:12" x14ac:dyDescent="0.3">
      <c r="A31" t="s">
        <v>167</v>
      </c>
      <c r="B31" t="s">
        <v>168</v>
      </c>
      <c r="C31" t="s">
        <v>169</v>
      </c>
      <c r="D31" t="s">
        <v>13</v>
      </c>
      <c r="G31" t="s">
        <v>170</v>
      </c>
      <c r="H31" s="1">
        <f t="shared" si="0"/>
        <v>4</v>
      </c>
      <c r="I31">
        <v>72</v>
      </c>
      <c r="J31">
        <v>2442</v>
      </c>
      <c r="K31">
        <v>2</v>
      </c>
      <c r="L31" t="s">
        <v>171</v>
      </c>
    </row>
    <row r="32" spans="1:12" x14ac:dyDescent="0.3">
      <c r="A32" t="s">
        <v>172</v>
      </c>
      <c r="B32" t="s">
        <v>173</v>
      </c>
      <c r="C32" t="s">
        <v>174</v>
      </c>
      <c r="D32" t="s">
        <v>13</v>
      </c>
      <c r="G32" t="s">
        <v>175</v>
      </c>
      <c r="H32" s="1">
        <f t="shared" si="0"/>
        <v>5</v>
      </c>
      <c r="I32">
        <v>39</v>
      </c>
      <c r="J32">
        <v>2425</v>
      </c>
      <c r="K32">
        <v>0</v>
      </c>
      <c r="L32" t="s">
        <v>176</v>
      </c>
    </row>
    <row r="33" spans="1:12" x14ac:dyDescent="0.3">
      <c r="A33" t="s">
        <v>177</v>
      </c>
      <c r="B33" t="s">
        <v>178</v>
      </c>
      <c r="C33" t="s">
        <v>179</v>
      </c>
      <c r="D33" t="s">
        <v>13</v>
      </c>
      <c r="E33" t="s">
        <v>180</v>
      </c>
      <c r="F33" t="b">
        <v>1</v>
      </c>
      <c r="G33" t="s">
        <v>181</v>
      </c>
      <c r="H33" s="1">
        <f t="shared" si="0"/>
        <v>17</v>
      </c>
      <c r="I33">
        <v>46</v>
      </c>
      <c r="J33">
        <v>2403</v>
      </c>
      <c r="K33">
        <v>0</v>
      </c>
      <c r="L33" t="s">
        <v>182</v>
      </c>
    </row>
    <row r="34" spans="1:12" ht="201.6" x14ac:dyDescent="0.3">
      <c r="A34" t="s">
        <v>183</v>
      </c>
      <c r="B34" t="s">
        <v>184</v>
      </c>
      <c r="C34" t="s">
        <v>185</v>
      </c>
      <c r="D34" t="s">
        <v>13</v>
      </c>
      <c r="E34" t="s">
        <v>186</v>
      </c>
      <c r="F34" t="b">
        <v>1</v>
      </c>
      <c r="G34" s="1" t="s">
        <v>187</v>
      </c>
      <c r="H34" s="1">
        <f t="shared" si="0"/>
        <v>10</v>
      </c>
      <c r="I34">
        <v>94</v>
      </c>
      <c r="J34">
        <v>2368</v>
      </c>
      <c r="K34">
        <v>19</v>
      </c>
      <c r="L34" t="s">
        <v>188</v>
      </c>
    </row>
    <row r="35" spans="1:12" x14ac:dyDescent="0.3">
      <c r="A35" t="s">
        <v>189</v>
      </c>
      <c r="B35" t="s">
        <v>190</v>
      </c>
      <c r="C35" t="s">
        <v>191</v>
      </c>
      <c r="D35" t="s">
        <v>30</v>
      </c>
      <c r="F35" t="b">
        <v>1</v>
      </c>
      <c r="G35" t="s">
        <v>192</v>
      </c>
      <c r="H35" s="1">
        <f t="shared" si="0"/>
        <v>5</v>
      </c>
      <c r="I35">
        <v>190</v>
      </c>
      <c r="J35">
        <v>2341</v>
      </c>
      <c r="K35">
        <v>148</v>
      </c>
      <c r="L35" t="s">
        <v>193</v>
      </c>
    </row>
    <row r="36" spans="1:12" x14ac:dyDescent="0.3">
      <c r="A36" t="s">
        <v>194</v>
      </c>
      <c r="B36" t="s">
        <v>194</v>
      </c>
      <c r="C36" t="s">
        <v>195</v>
      </c>
      <c r="D36" t="s">
        <v>196</v>
      </c>
      <c r="E36" t="s">
        <v>197</v>
      </c>
      <c r="H36" s="1">
        <f t="shared" si="0"/>
        <v>1</v>
      </c>
      <c r="I36">
        <v>363</v>
      </c>
      <c r="J36">
        <v>2254</v>
      </c>
      <c r="K36">
        <v>794</v>
      </c>
      <c r="L36" t="s">
        <v>198</v>
      </c>
    </row>
    <row r="37" spans="1:12" x14ac:dyDescent="0.3">
      <c r="A37" t="s">
        <v>199</v>
      </c>
      <c r="B37" t="s">
        <v>200</v>
      </c>
      <c r="D37" t="s">
        <v>13</v>
      </c>
      <c r="E37" t="s">
        <v>201</v>
      </c>
      <c r="G37" t="s">
        <v>202</v>
      </c>
      <c r="H37" s="1">
        <f t="shared" si="0"/>
        <v>3</v>
      </c>
      <c r="I37">
        <v>41</v>
      </c>
      <c r="J37">
        <v>2226</v>
      </c>
      <c r="K37">
        <v>23</v>
      </c>
      <c r="L37" t="s">
        <v>203</v>
      </c>
    </row>
    <row r="38" spans="1:12" x14ac:dyDescent="0.3">
      <c r="A38" t="s">
        <v>204</v>
      </c>
      <c r="B38" t="s">
        <v>205</v>
      </c>
      <c r="C38" t="s">
        <v>206</v>
      </c>
      <c r="D38" t="s">
        <v>30</v>
      </c>
      <c r="E38" t="s">
        <v>207</v>
      </c>
      <c r="G38" t="s">
        <v>208</v>
      </c>
      <c r="H38" s="1">
        <f t="shared" si="0"/>
        <v>5</v>
      </c>
      <c r="I38">
        <v>325</v>
      </c>
      <c r="J38">
        <v>2133</v>
      </c>
      <c r="K38">
        <v>1</v>
      </c>
      <c r="L38" t="s">
        <v>209</v>
      </c>
    </row>
    <row r="39" spans="1:12" x14ac:dyDescent="0.3">
      <c r="A39" t="s">
        <v>210</v>
      </c>
      <c r="B39" t="s">
        <v>211</v>
      </c>
      <c r="D39" t="s">
        <v>30</v>
      </c>
      <c r="E39" t="s">
        <v>212</v>
      </c>
      <c r="G39" t="s">
        <v>213</v>
      </c>
      <c r="H39" s="1">
        <f t="shared" si="0"/>
        <v>16</v>
      </c>
      <c r="I39">
        <v>25</v>
      </c>
      <c r="J39">
        <v>2114</v>
      </c>
      <c r="K39">
        <v>0</v>
      </c>
      <c r="L39" t="s">
        <v>214</v>
      </c>
    </row>
    <row r="40" spans="1:12" x14ac:dyDescent="0.3">
      <c r="A40" t="s">
        <v>215</v>
      </c>
      <c r="B40" t="s">
        <v>216</v>
      </c>
      <c r="C40" t="s">
        <v>217</v>
      </c>
      <c r="D40" t="s">
        <v>30</v>
      </c>
      <c r="F40" t="b">
        <v>1</v>
      </c>
      <c r="G40" t="s">
        <v>218</v>
      </c>
      <c r="H40" s="1">
        <f t="shared" si="0"/>
        <v>24</v>
      </c>
      <c r="I40">
        <v>57</v>
      </c>
      <c r="J40">
        <v>2094</v>
      </c>
      <c r="K40">
        <v>89</v>
      </c>
      <c r="L40" t="s">
        <v>219</v>
      </c>
    </row>
    <row r="41" spans="1:12" ht="230.4" x14ac:dyDescent="0.3">
      <c r="A41" t="s">
        <v>220</v>
      </c>
      <c r="B41" t="s">
        <v>221</v>
      </c>
      <c r="D41" t="s">
        <v>30</v>
      </c>
      <c r="G41" s="1" t="s">
        <v>222</v>
      </c>
      <c r="H41" s="1">
        <f t="shared" si="0"/>
        <v>11</v>
      </c>
      <c r="I41">
        <v>72</v>
      </c>
      <c r="J41">
        <v>2053</v>
      </c>
      <c r="K41">
        <v>68</v>
      </c>
      <c r="L41" t="s">
        <v>223</v>
      </c>
    </row>
    <row r="42" spans="1:12" x14ac:dyDescent="0.3">
      <c r="A42" t="s">
        <v>224</v>
      </c>
      <c r="B42" t="s">
        <v>225</v>
      </c>
      <c r="C42" t="s">
        <v>226</v>
      </c>
      <c r="D42" t="s">
        <v>30</v>
      </c>
      <c r="E42" t="s">
        <v>227</v>
      </c>
      <c r="H42" s="1">
        <f t="shared" si="0"/>
        <v>1</v>
      </c>
      <c r="I42">
        <v>201</v>
      </c>
      <c r="J42">
        <v>2013</v>
      </c>
      <c r="K42">
        <v>547</v>
      </c>
      <c r="L42" t="s">
        <v>228</v>
      </c>
    </row>
    <row r="43" spans="1:12" x14ac:dyDescent="0.3">
      <c r="A43" t="s">
        <v>229</v>
      </c>
      <c r="B43" t="s">
        <v>230</v>
      </c>
      <c r="D43" t="s">
        <v>30</v>
      </c>
      <c r="E43" t="s">
        <v>231</v>
      </c>
      <c r="F43" t="b">
        <v>1</v>
      </c>
      <c r="G43" t="s">
        <v>232</v>
      </c>
      <c r="H43" s="1">
        <f t="shared" si="0"/>
        <v>20</v>
      </c>
      <c r="I43">
        <v>71</v>
      </c>
      <c r="J43">
        <v>1929</v>
      </c>
      <c r="K43">
        <v>0</v>
      </c>
      <c r="L43" t="s">
        <v>233</v>
      </c>
    </row>
    <row r="44" spans="1:12" x14ac:dyDescent="0.3">
      <c r="A44" t="s">
        <v>234</v>
      </c>
      <c r="B44" t="s">
        <v>235</v>
      </c>
      <c r="C44" t="s">
        <v>93</v>
      </c>
      <c r="D44" t="s">
        <v>30</v>
      </c>
      <c r="E44" t="s">
        <v>236</v>
      </c>
      <c r="G44" t="s">
        <v>237</v>
      </c>
      <c r="H44" s="1">
        <f t="shared" si="0"/>
        <v>12</v>
      </c>
      <c r="I44">
        <v>58</v>
      </c>
      <c r="J44">
        <v>1895</v>
      </c>
      <c r="K44">
        <v>6</v>
      </c>
      <c r="L44" t="s">
        <v>238</v>
      </c>
    </row>
    <row r="45" spans="1:12" ht="158.4" x14ac:dyDescent="0.3">
      <c r="A45" t="s">
        <v>239</v>
      </c>
      <c r="B45" t="s">
        <v>240</v>
      </c>
      <c r="C45" t="s">
        <v>241</v>
      </c>
      <c r="D45" t="s">
        <v>13</v>
      </c>
      <c r="E45" t="s">
        <v>242</v>
      </c>
      <c r="F45" t="b">
        <v>1</v>
      </c>
      <c r="G45" s="1" t="s">
        <v>243</v>
      </c>
      <c r="H45" s="1">
        <f t="shared" si="0"/>
        <v>11</v>
      </c>
      <c r="I45">
        <v>30</v>
      </c>
      <c r="J45">
        <v>1882</v>
      </c>
      <c r="K45">
        <v>29</v>
      </c>
      <c r="L45" t="s">
        <v>244</v>
      </c>
    </row>
    <row r="46" spans="1:12" x14ac:dyDescent="0.3">
      <c r="A46" t="s">
        <v>245</v>
      </c>
      <c r="B46" t="s">
        <v>246</v>
      </c>
      <c r="C46" t="s">
        <v>247</v>
      </c>
      <c r="D46" t="s">
        <v>13</v>
      </c>
      <c r="E46" t="s">
        <v>248</v>
      </c>
      <c r="G46" t="s">
        <v>249</v>
      </c>
      <c r="H46" s="1">
        <f t="shared" si="0"/>
        <v>15</v>
      </c>
      <c r="I46">
        <v>203</v>
      </c>
      <c r="J46">
        <v>1881</v>
      </c>
      <c r="K46">
        <v>9</v>
      </c>
      <c r="L46" t="s">
        <v>250</v>
      </c>
    </row>
    <row r="47" spans="1:12" ht="288" x14ac:dyDescent="0.3">
      <c r="A47" t="s">
        <v>251</v>
      </c>
      <c r="B47" t="s">
        <v>252</v>
      </c>
      <c r="C47" t="s">
        <v>253</v>
      </c>
      <c r="D47" t="s">
        <v>13</v>
      </c>
      <c r="E47" t="s">
        <v>254</v>
      </c>
      <c r="G47" s="1" t="s">
        <v>255</v>
      </c>
      <c r="H47" s="1">
        <f t="shared" si="0"/>
        <v>25</v>
      </c>
      <c r="I47">
        <v>117</v>
      </c>
      <c r="J47">
        <v>1862</v>
      </c>
      <c r="K47">
        <v>8</v>
      </c>
      <c r="L47" t="s">
        <v>256</v>
      </c>
    </row>
    <row r="48" spans="1:12" x14ac:dyDescent="0.3">
      <c r="A48" t="s">
        <v>257</v>
      </c>
      <c r="B48" t="s">
        <v>258</v>
      </c>
      <c r="C48" t="s">
        <v>259</v>
      </c>
      <c r="D48" t="s">
        <v>30</v>
      </c>
      <c r="F48" t="b">
        <v>1</v>
      </c>
      <c r="G48" t="s">
        <v>260</v>
      </c>
      <c r="H48" s="1">
        <f t="shared" si="0"/>
        <v>11</v>
      </c>
      <c r="I48">
        <v>48</v>
      </c>
      <c r="J48">
        <v>1804</v>
      </c>
      <c r="K48">
        <v>148</v>
      </c>
      <c r="L48" t="s">
        <v>261</v>
      </c>
    </row>
    <row r="49" spans="1:12" x14ac:dyDescent="0.3">
      <c r="A49" t="s">
        <v>262</v>
      </c>
      <c r="B49" t="s">
        <v>263</v>
      </c>
      <c r="C49" t="s">
        <v>264</v>
      </c>
      <c r="D49" t="s">
        <v>13</v>
      </c>
      <c r="E49" t="s">
        <v>265</v>
      </c>
      <c r="F49" t="b">
        <v>1</v>
      </c>
      <c r="G49" t="s">
        <v>266</v>
      </c>
      <c r="H49" s="1">
        <f t="shared" si="0"/>
        <v>1</v>
      </c>
      <c r="I49">
        <v>28</v>
      </c>
      <c r="J49">
        <v>1730</v>
      </c>
      <c r="K49">
        <v>17</v>
      </c>
      <c r="L49" t="s">
        <v>267</v>
      </c>
    </row>
    <row r="50" spans="1:12" x14ac:dyDescent="0.3">
      <c r="A50" t="s">
        <v>268</v>
      </c>
      <c r="B50" t="s">
        <v>269</v>
      </c>
      <c r="C50" t="s">
        <v>270</v>
      </c>
      <c r="D50" t="s">
        <v>30</v>
      </c>
      <c r="E50" t="s">
        <v>271</v>
      </c>
      <c r="H50" s="1">
        <f t="shared" si="0"/>
        <v>1</v>
      </c>
      <c r="I50">
        <v>57</v>
      </c>
      <c r="J50">
        <v>1706</v>
      </c>
      <c r="K50">
        <v>69</v>
      </c>
      <c r="L50" t="s">
        <v>272</v>
      </c>
    </row>
    <row r="51" spans="1:12" x14ac:dyDescent="0.3">
      <c r="A51" t="s">
        <v>273</v>
      </c>
      <c r="B51" t="s">
        <v>274</v>
      </c>
      <c r="C51" t="s">
        <v>275</v>
      </c>
      <c r="D51" t="s">
        <v>13</v>
      </c>
      <c r="H51" s="1">
        <f t="shared" si="0"/>
        <v>1</v>
      </c>
      <c r="I51">
        <v>50</v>
      </c>
      <c r="J51">
        <v>1704</v>
      </c>
      <c r="K51">
        <v>38</v>
      </c>
      <c r="L51" t="s">
        <v>276</v>
      </c>
    </row>
    <row r="52" spans="1:12" x14ac:dyDescent="0.3">
      <c r="A52" t="s">
        <v>277</v>
      </c>
      <c r="B52" t="s">
        <v>278</v>
      </c>
      <c r="C52" t="s">
        <v>279</v>
      </c>
      <c r="D52" t="s">
        <v>13</v>
      </c>
      <c r="E52" t="s">
        <v>280</v>
      </c>
      <c r="H52" s="1">
        <f t="shared" si="0"/>
        <v>1</v>
      </c>
      <c r="I52">
        <v>245</v>
      </c>
      <c r="J52">
        <v>1695</v>
      </c>
      <c r="K52">
        <v>2</v>
      </c>
      <c r="L52" t="s">
        <v>281</v>
      </c>
    </row>
    <row r="53" spans="1:12" x14ac:dyDescent="0.3">
      <c r="A53" t="s">
        <v>282</v>
      </c>
      <c r="B53" t="s">
        <v>283</v>
      </c>
      <c r="C53" t="s">
        <v>284</v>
      </c>
      <c r="D53" t="s">
        <v>13</v>
      </c>
      <c r="E53" t="s">
        <v>285</v>
      </c>
      <c r="F53" t="b">
        <v>1</v>
      </c>
      <c r="G53" t="s">
        <v>286</v>
      </c>
      <c r="H53" s="1">
        <f t="shared" si="0"/>
        <v>3</v>
      </c>
      <c r="I53">
        <v>40</v>
      </c>
      <c r="J53">
        <v>1654</v>
      </c>
      <c r="K53">
        <v>67</v>
      </c>
      <c r="L53" t="s">
        <v>287</v>
      </c>
    </row>
    <row r="54" spans="1:12" x14ac:dyDescent="0.3">
      <c r="A54" t="s">
        <v>288</v>
      </c>
      <c r="B54" t="s">
        <v>289</v>
      </c>
      <c r="C54" t="s">
        <v>110</v>
      </c>
      <c r="D54" t="s">
        <v>290</v>
      </c>
      <c r="E54" t="s">
        <v>291</v>
      </c>
      <c r="G54" t="s">
        <v>292</v>
      </c>
      <c r="H54" s="1">
        <f t="shared" si="0"/>
        <v>10</v>
      </c>
      <c r="I54">
        <v>207</v>
      </c>
      <c r="J54">
        <v>1645</v>
      </c>
      <c r="K54">
        <v>28</v>
      </c>
      <c r="L54" t="s">
        <v>293</v>
      </c>
    </row>
    <row r="55" spans="1:12" x14ac:dyDescent="0.3">
      <c r="A55" t="s">
        <v>294</v>
      </c>
      <c r="B55" t="s">
        <v>295</v>
      </c>
      <c r="D55" t="s">
        <v>13</v>
      </c>
      <c r="E55" t="s">
        <v>296</v>
      </c>
      <c r="F55" t="b">
        <v>1</v>
      </c>
      <c r="G55" t="s">
        <v>297</v>
      </c>
      <c r="H55" s="1">
        <f t="shared" si="0"/>
        <v>3</v>
      </c>
      <c r="I55">
        <v>132</v>
      </c>
      <c r="J55">
        <v>1571</v>
      </c>
      <c r="K55">
        <v>168</v>
      </c>
      <c r="L55" t="s">
        <v>298</v>
      </c>
    </row>
    <row r="56" spans="1:12" x14ac:dyDescent="0.3">
      <c r="A56" t="s">
        <v>299</v>
      </c>
      <c r="B56" t="s">
        <v>300</v>
      </c>
      <c r="D56" t="s">
        <v>13</v>
      </c>
      <c r="E56" t="s">
        <v>301</v>
      </c>
      <c r="H56" s="1">
        <f t="shared" si="0"/>
        <v>1</v>
      </c>
      <c r="I56">
        <v>17</v>
      </c>
      <c r="J56">
        <v>1550</v>
      </c>
      <c r="K56">
        <v>1</v>
      </c>
      <c r="L56" t="s">
        <v>302</v>
      </c>
    </row>
    <row r="57" spans="1:12" x14ac:dyDescent="0.3">
      <c r="A57" t="s">
        <v>303</v>
      </c>
      <c r="B57" t="s">
        <v>304</v>
      </c>
      <c r="C57" t="s">
        <v>305</v>
      </c>
      <c r="D57" t="s">
        <v>30</v>
      </c>
      <c r="E57" t="s">
        <v>306</v>
      </c>
      <c r="H57" s="1">
        <f t="shared" si="0"/>
        <v>1</v>
      </c>
      <c r="I57">
        <v>32</v>
      </c>
      <c r="J57">
        <v>1549</v>
      </c>
      <c r="K57">
        <v>6</v>
      </c>
      <c r="L57" t="s">
        <v>307</v>
      </c>
    </row>
    <row r="58" spans="1:12" x14ac:dyDescent="0.3">
      <c r="A58" t="s">
        <v>308</v>
      </c>
      <c r="B58" t="s">
        <v>309</v>
      </c>
      <c r="D58" t="s">
        <v>310</v>
      </c>
      <c r="E58" t="s">
        <v>311</v>
      </c>
      <c r="F58" t="b">
        <v>1</v>
      </c>
      <c r="G58" t="s">
        <v>312</v>
      </c>
      <c r="H58" s="1">
        <f t="shared" si="0"/>
        <v>6</v>
      </c>
      <c r="I58">
        <v>136</v>
      </c>
      <c r="J58">
        <v>1518</v>
      </c>
      <c r="K58">
        <v>296</v>
      </c>
      <c r="L58" t="s">
        <v>313</v>
      </c>
    </row>
    <row r="59" spans="1:12" x14ac:dyDescent="0.3">
      <c r="A59" t="s">
        <v>314</v>
      </c>
      <c r="B59" t="s">
        <v>315</v>
      </c>
      <c r="C59" t="s">
        <v>316</v>
      </c>
      <c r="D59" t="s">
        <v>13</v>
      </c>
      <c r="E59" t="s">
        <v>317</v>
      </c>
      <c r="G59" t="s">
        <v>318</v>
      </c>
      <c r="H59" s="1">
        <f t="shared" si="0"/>
        <v>6</v>
      </c>
      <c r="I59">
        <v>179</v>
      </c>
      <c r="J59">
        <v>1498</v>
      </c>
      <c r="K59">
        <v>4</v>
      </c>
      <c r="L59" t="s">
        <v>319</v>
      </c>
    </row>
    <row r="60" spans="1:12" x14ac:dyDescent="0.3">
      <c r="A60" t="s">
        <v>320</v>
      </c>
      <c r="D60" t="s">
        <v>30</v>
      </c>
      <c r="H60" s="1">
        <f t="shared" si="0"/>
        <v>1</v>
      </c>
      <c r="I60">
        <v>87</v>
      </c>
      <c r="J60">
        <v>1455</v>
      </c>
      <c r="K60">
        <v>0</v>
      </c>
      <c r="L60" t="s">
        <v>321</v>
      </c>
    </row>
    <row r="61" spans="1:12" x14ac:dyDescent="0.3">
      <c r="A61" t="s">
        <v>322</v>
      </c>
      <c r="B61" t="s">
        <v>323</v>
      </c>
      <c r="C61" t="s">
        <v>110</v>
      </c>
      <c r="D61" t="s">
        <v>13</v>
      </c>
      <c r="E61" t="s">
        <v>324</v>
      </c>
      <c r="G61" t="s">
        <v>325</v>
      </c>
      <c r="H61" s="1">
        <f t="shared" si="0"/>
        <v>25</v>
      </c>
      <c r="I61">
        <v>81</v>
      </c>
      <c r="J61">
        <v>1393</v>
      </c>
      <c r="K61">
        <v>6</v>
      </c>
      <c r="L61" t="s">
        <v>326</v>
      </c>
    </row>
    <row r="62" spans="1:12" ht="100.8" x14ac:dyDescent="0.3">
      <c r="A62" t="s">
        <v>327</v>
      </c>
      <c r="B62" t="s">
        <v>328</v>
      </c>
      <c r="D62" t="s">
        <v>30</v>
      </c>
      <c r="F62" t="b">
        <v>1</v>
      </c>
      <c r="G62" s="1" t="s">
        <v>329</v>
      </c>
      <c r="H62" s="1">
        <f t="shared" si="0"/>
        <v>9</v>
      </c>
      <c r="I62">
        <v>34</v>
      </c>
      <c r="J62">
        <v>1371</v>
      </c>
      <c r="K62">
        <v>11</v>
      </c>
      <c r="L62" t="s">
        <v>330</v>
      </c>
    </row>
    <row r="63" spans="1:12" x14ac:dyDescent="0.3">
      <c r="A63" t="s">
        <v>331</v>
      </c>
      <c r="B63" t="s">
        <v>332</v>
      </c>
      <c r="D63" t="s">
        <v>30</v>
      </c>
      <c r="F63" t="b">
        <v>1</v>
      </c>
      <c r="H63" s="1">
        <f t="shared" si="0"/>
        <v>1</v>
      </c>
      <c r="I63">
        <v>139</v>
      </c>
      <c r="J63">
        <v>1360</v>
      </c>
      <c r="K63">
        <v>56</v>
      </c>
      <c r="L63" t="s">
        <v>333</v>
      </c>
    </row>
    <row r="64" spans="1:12" x14ac:dyDescent="0.3">
      <c r="A64" t="s">
        <v>334</v>
      </c>
      <c r="B64" t="s">
        <v>335</v>
      </c>
      <c r="C64" t="s">
        <v>336</v>
      </c>
      <c r="D64" t="s">
        <v>30</v>
      </c>
      <c r="G64" t="s">
        <v>337</v>
      </c>
      <c r="H64" s="1">
        <f t="shared" si="0"/>
        <v>17</v>
      </c>
      <c r="I64">
        <v>61</v>
      </c>
      <c r="J64">
        <v>1345</v>
      </c>
      <c r="K64">
        <v>72</v>
      </c>
      <c r="L64" t="s">
        <v>338</v>
      </c>
    </row>
    <row r="65" spans="1:12" x14ac:dyDescent="0.3">
      <c r="A65" t="s">
        <v>339</v>
      </c>
      <c r="D65" t="s">
        <v>340</v>
      </c>
      <c r="E65" t="s">
        <v>341</v>
      </c>
      <c r="F65" t="b">
        <v>1</v>
      </c>
      <c r="G65" t="s">
        <v>342</v>
      </c>
      <c r="H65" s="1">
        <f t="shared" si="0"/>
        <v>5</v>
      </c>
      <c r="I65">
        <v>76</v>
      </c>
      <c r="J65">
        <v>1343</v>
      </c>
      <c r="K65">
        <v>64</v>
      </c>
      <c r="L65" t="s">
        <v>343</v>
      </c>
    </row>
    <row r="66" spans="1:12" x14ac:dyDescent="0.3">
      <c r="A66" t="s">
        <v>344</v>
      </c>
      <c r="B66" t="s">
        <v>345</v>
      </c>
      <c r="D66" t="s">
        <v>13</v>
      </c>
      <c r="E66" t="s">
        <v>346</v>
      </c>
      <c r="F66" t="b">
        <v>1</v>
      </c>
      <c r="H66" s="1">
        <f t="shared" si="0"/>
        <v>1</v>
      </c>
      <c r="I66">
        <v>11</v>
      </c>
      <c r="J66">
        <v>1341</v>
      </c>
      <c r="K66">
        <v>5</v>
      </c>
      <c r="L66" t="s">
        <v>347</v>
      </c>
    </row>
    <row r="67" spans="1:12" ht="187.2" x14ac:dyDescent="0.3">
      <c r="A67" t="s">
        <v>348</v>
      </c>
      <c r="B67" t="s">
        <v>349</v>
      </c>
      <c r="D67" t="s">
        <v>13</v>
      </c>
      <c r="E67" t="s">
        <v>350</v>
      </c>
      <c r="G67" s="1" t="s">
        <v>351</v>
      </c>
      <c r="H67" s="1">
        <f t="shared" ref="H67:H130" si="1">LEN(TRIM(G67))-LEN(SUBSTITUTE(TRIM(G67)," ",""))+1</f>
        <v>11</v>
      </c>
      <c r="I67">
        <v>146</v>
      </c>
      <c r="J67">
        <v>1279</v>
      </c>
      <c r="K67">
        <v>60</v>
      </c>
      <c r="L67" t="s">
        <v>352</v>
      </c>
    </row>
    <row r="68" spans="1:12" x14ac:dyDescent="0.3">
      <c r="A68" t="s">
        <v>353</v>
      </c>
      <c r="B68" t="s">
        <v>354</v>
      </c>
      <c r="D68" t="s">
        <v>13</v>
      </c>
      <c r="E68" t="s">
        <v>355</v>
      </c>
      <c r="G68" t="s">
        <v>356</v>
      </c>
      <c r="H68" s="1">
        <f t="shared" si="1"/>
        <v>3</v>
      </c>
      <c r="I68">
        <v>337</v>
      </c>
      <c r="J68">
        <v>1265</v>
      </c>
      <c r="K68">
        <v>39</v>
      </c>
      <c r="L68" t="s">
        <v>357</v>
      </c>
    </row>
    <row r="69" spans="1:12" x14ac:dyDescent="0.3">
      <c r="A69" t="s">
        <v>358</v>
      </c>
      <c r="B69" t="s">
        <v>359</v>
      </c>
      <c r="D69" t="s">
        <v>30</v>
      </c>
      <c r="G69" t="s">
        <v>360</v>
      </c>
      <c r="H69" s="1">
        <f t="shared" si="1"/>
        <v>5</v>
      </c>
      <c r="I69">
        <v>103</v>
      </c>
      <c r="J69">
        <v>1257</v>
      </c>
      <c r="K69">
        <v>2950</v>
      </c>
      <c r="L69" t="s">
        <v>361</v>
      </c>
    </row>
    <row r="70" spans="1:12" x14ac:dyDescent="0.3">
      <c r="A70" t="s">
        <v>362</v>
      </c>
      <c r="B70" t="s">
        <v>363</v>
      </c>
      <c r="C70" t="s">
        <v>364</v>
      </c>
      <c r="D70" t="s">
        <v>13</v>
      </c>
      <c r="G70" t="s">
        <v>365</v>
      </c>
      <c r="H70" s="1">
        <f t="shared" si="1"/>
        <v>15</v>
      </c>
      <c r="I70">
        <v>21</v>
      </c>
      <c r="J70">
        <v>1243</v>
      </c>
      <c r="K70">
        <v>9</v>
      </c>
      <c r="L70" t="s">
        <v>366</v>
      </c>
    </row>
    <row r="71" spans="1:12" ht="115.2" x14ac:dyDescent="0.3">
      <c r="A71" t="s">
        <v>367</v>
      </c>
      <c r="B71" t="s">
        <v>368</v>
      </c>
      <c r="C71" t="s">
        <v>369</v>
      </c>
      <c r="D71" t="s">
        <v>13</v>
      </c>
      <c r="E71" t="s">
        <v>370</v>
      </c>
      <c r="F71" t="b">
        <v>1</v>
      </c>
      <c r="G71" s="1" t="s">
        <v>371</v>
      </c>
      <c r="H71" s="1">
        <f t="shared" si="1"/>
        <v>7</v>
      </c>
      <c r="I71">
        <v>37</v>
      </c>
      <c r="J71">
        <v>1214</v>
      </c>
      <c r="K71">
        <v>586</v>
      </c>
      <c r="L71" t="s">
        <v>372</v>
      </c>
    </row>
    <row r="72" spans="1:12" x14ac:dyDescent="0.3">
      <c r="A72" t="s">
        <v>373</v>
      </c>
      <c r="B72" t="s">
        <v>374</v>
      </c>
      <c r="C72" t="s">
        <v>375</v>
      </c>
      <c r="D72" t="s">
        <v>30</v>
      </c>
      <c r="G72" t="s">
        <v>376</v>
      </c>
      <c r="H72" s="1">
        <f t="shared" si="1"/>
        <v>5</v>
      </c>
      <c r="I72">
        <v>207</v>
      </c>
      <c r="J72">
        <v>1211</v>
      </c>
      <c r="K72">
        <v>127</v>
      </c>
      <c r="L72" t="s">
        <v>377</v>
      </c>
    </row>
    <row r="73" spans="1:12" x14ac:dyDescent="0.3">
      <c r="A73" t="s">
        <v>378</v>
      </c>
      <c r="B73" t="s">
        <v>379</v>
      </c>
      <c r="D73" t="s">
        <v>30</v>
      </c>
      <c r="E73" t="s">
        <v>380</v>
      </c>
      <c r="H73" s="1">
        <f t="shared" si="1"/>
        <v>1</v>
      </c>
      <c r="I73">
        <v>198</v>
      </c>
      <c r="J73">
        <v>1210</v>
      </c>
      <c r="K73">
        <v>100</v>
      </c>
      <c r="L73" t="s">
        <v>381</v>
      </c>
    </row>
    <row r="74" spans="1:12" x14ac:dyDescent="0.3">
      <c r="A74" t="s">
        <v>382</v>
      </c>
      <c r="B74" t="s">
        <v>383</v>
      </c>
      <c r="D74" t="s">
        <v>30</v>
      </c>
      <c r="E74" t="s">
        <v>384</v>
      </c>
      <c r="H74" s="1">
        <f t="shared" si="1"/>
        <v>1</v>
      </c>
      <c r="I74">
        <v>65</v>
      </c>
      <c r="J74">
        <v>1198</v>
      </c>
      <c r="K74">
        <v>32</v>
      </c>
      <c r="L74" t="s">
        <v>385</v>
      </c>
    </row>
    <row r="75" spans="1:12" x14ac:dyDescent="0.3">
      <c r="A75" t="s">
        <v>386</v>
      </c>
      <c r="B75" t="s">
        <v>387</v>
      </c>
      <c r="C75" t="s">
        <v>388</v>
      </c>
      <c r="D75" t="s">
        <v>13</v>
      </c>
      <c r="E75" t="s">
        <v>389</v>
      </c>
      <c r="G75" t="s">
        <v>390</v>
      </c>
      <c r="H75" s="1">
        <f t="shared" si="1"/>
        <v>3</v>
      </c>
      <c r="I75">
        <v>47</v>
      </c>
      <c r="J75">
        <v>1181</v>
      </c>
      <c r="K75">
        <v>18</v>
      </c>
      <c r="L75" t="s">
        <v>391</v>
      </c>
    </row>
    <row r="76" spans="1:12" x14ac:dyDescent="0.3">
      <c r="A76" t="s">
        <v>392</v>
      </c>
      <c r="B76" t="s">
        <v>393</v>
      </c>
      <c r="C76" t="s">
        <v>394</v>
      </c>
      <c r="D76" t="s">
        <v>30</v>
      </c>
      <c r="G76" t="s">
        <v>395</v>
      </c>
      <c r="H76" s="1">
        <f t="shared" si="1"/>
        <v>19</v>
      </c>
      <c r="I76">
        <v>38</v>
      </c>
      <c r="J76">
        <v>1171</v>
      </c>
      <c r="K76">
        <v>78</v>
      </c>
      <c r="L76" t="s">
        <v>396</v>
      </c>
    </row>
    <row r="77" spans="1:12" x14ac:dyDescent="0.3">
      <c r="A77" t="s">
        <v>397</v>
      </c>
      <c r="B77" t="s">
        <v>397</v>
      </c>
      <c r="D77" t="s">
        <v>13</v>
      </c>
      <c r="G77" t="s">
        <v>398</v>
      </c>
      <c r="H77" s="1">
        <f t="shared" si="1"/>
        <v>2</v>
      </c>
      <c r="I77">
        <v>114</v>
      </c>
      <c r="J77">
        <v>1167</v>
      </c>
      <c r="K77">
        <v>37</v>
      </c>
      <c r="L77" t="s">
        <v>399</v>
      </c>
    </row>
    <row r="78" spans="1:12" x14ac:dyDescent="0.3">
      <c r="A78" t="s">
        <v>400</v>
      </c>
      <c r="B78" t="s">
        <v>401</v>
      </c>
      <c r="D78" t="s">
        <v>13</v>
      </c>
      <c r="E78" t="s">
        <v>402</v>
      </c>
      <c r="G78" t="s">
        <v>403</v>
      </c>
      <c r="H78" s="1">
        <f t="shared" si="1"/>
        <v>15</v>
      </c>
      <c r="I78">
        <v>76</v>
      </c>
      <c r="J78">
        <v>1114</v>
      </c>
      <c r="K78">
        <v>0</v>
      </c>
      <c r="L78" t="s">
        <v>404</v>
      </c>
    </row>
    <row r="79" spans="1:12" x14ac:dyDescent="0.3">
      <c r="A79" t="s">
        <v>405</v>
      </c>
      <c r="B79" t="s">
        <v>406</v>
      </c>
      <c r="C79" t="s">
        <v>407</v>
      </c>
      <c r="D79" t="s">
        <v>13</v>
      </c>
      <c r="H79" s="1">
        <f t="shared" si="1"/>
        <v>1</v>
      </c>
      <c r="I79">
        <v>13</v>
      </c>
      <c r="J79">
        <v>1099</v>
      </c>
      <c r="K79">
        <v>8</v>
      </c>
      <c r="L79" t="s">
        <v>408</v>
      </c>
    </row>
    <row r="80" spans="1:12" x14ac:dyDescent="0.3">
      <c r="A80" t="s">
        <v>409</v>
      </c>
      <c r="B80" t="s">
        <v>410</v>
      </c>
      <c r="C80" t="s">
        <v>411</v>
      </c>
      <c r="D80" t="s">
        <v>13</v>
      </c>
      <c r="F80" t="b">
        <v>1</v>
      </c>
      <c r="G80" t="s">
        <v>412</v>
      </c>
      <c r="H80" s="1">
        <f t="shared" si="1"/>
        <v>4</v>
      </c>
      <c r="I80">
        <v>54</v>
      </c>
      <c r="J80">
        <v>1086</v>
      </c>
      <c r="K80">
        <v>407</v>
      </c>
      <c r="L80" t="s">
        <v>413</v>
      </c>
    </row>
    <row r="81" spans="1:12" x14ac:dyDescent="0.3">
      <c r="A81" t="s">
        <v>414</v>
      </c>
      <c r="B81" t="s">
        <v>415</v>
      </c>
      <c r="D81" t="s">
        <v>13</v>
      </c>
      <c r="E81" t="s">
        <v>416</v>
      </c>
      <c r="F81" t="b">
        <v>1</v>
      </c>
      <c r="H81" s="1">
        <f t="shared" si="1"/>
        <v>1</v>
      </c>
      <c r="I81">
        <v>40</v>
      </c>
      <c r="J81">
        <v>1081</v>
      </c>
      <c r="K81">
        <v>87</v>
      </c>
      <c r="L81" t="s">
        <v>417</v>
      </c>
    </row>
    <row r="82" spans="1:12" x14ac:dyDescent="0.3">
      <c r="A82" t="s">
        <v>418</v>
      </c>
      <c r="B82" t="s">
        <v>419</v>
      </c>
      <c r="D82" t="s">
        <v>30</v>
      </c>
      <c r="G82" t="s">
        <v>420</v>
      </c>
      <c r="H82" s="1">
        <f t="shared" si="1"/>
        <v>14</v>
      </c>
      <c r="I82">
        <v>200</v>
      </c>
      <c r="J82">
        <v>1076</v>
      </c>
      <c r="K82">
        <v>242</v>
      </c>
      <c r="L82" t="s">
        <v>421</v>
      </c>
    </row>
    <row r="83" spans="1:12" x14ac:dyDescent="0.3">
      <c r="A83" t="s">
        <v>422</v>
      </c>
      <c r="B83" t="s">
        <v>423</v>
      </c>
      <c r="D83" t="s">
        <v>424</v>
      </c>
      <c r="F83" t="b">
        <v>1</v>
      </c>
      <c r="G83" t="s">
        <v>425</v>
      </c>
      <c r="H83" s="1">
        <f t="shared" si="1"/>
        <v>11</v>
      </c>
      <c r="I83">
        <v>13</v>
      </c>
      <c r="J83">
        <v>1075</v>
      </c>
      <c r="K83">
        <v>0</v>
      </c>
      <c r="L83" t="s">
        <v>426</v>
      </c>
    </row>
    <row r="84" spans="1:12" ht="158.4" x14ac:dyDescent="0.3">
      <c r="A84" t="s">
        <v>427</v>
      </c>
      <c r="B84" t="s">
        <v>428</v>
      </c>
      <c r="C84" t="s">
        <v>429</v>
      </c>
      <c r="D84" t="s">
        <v>13</v>
      </c>
      <c r="E84" t="s">
        <v>430</v>
      </c>
      <c r="F84" t="b">
        <v>1</v>
      </c>
      <c r="G84" s="1" t="s">
        <v>431</v>
      </c>
      <c r="H84" s="1">
        <f t="shared" si="1"/>
        <v>10</v>
      </c>
      <c r="I84">
        <v>42</v>
      </c>
      <c r="J84">
        <v>1066</v>
      </c>
      <c r="K84">
        <v>32</v>
      </c>
      <c r="L84" t="s">
        <v>432</v>
      </c>
    </row>
    <row r="85" spans="1:12" x14ac:dyDescent="0.3">
      <c r="A85" t="s">
        <v>433</v>
      </c>
      <c r="B85" t="s">
        <v>434</v>
      </c>
      <c r="D85" t="s">
        <v>435</v>
      </c>
      <c r="H85" s="1">
        <f t="shared" si="1"/>
        <v>1</v>
      </c>
      <c r="I85">
        <v>113</v>
      </c>
      <c r="J85">
        <v>1056</v>
      </c>
      <c r="K85">
        <v>79</v>
      </c>
      <c r="L85" t="s">
        <v>436</v>
      </c>
    </row>
    <row r="86" spans="1:12" ht="273.60000000000002" x14ac:dyDescent="0.3">
      <c r="A86" t="s">
        <v>437</v>
      </c>
      <c r="B86" t="s">
        <v>438</v>
      </c>
      <c r="C86" t="s">
        <v>439</v>
      </c>
      <c r="D86" t="s">
        <v>30</v>
      </c>
      <c r="E86" t="s">
        <v>440</v>
      </c>
      <c r="G86" s="1" t="s">
        <v>441</v>
      </c>
      <c r="H86" s="1">
        <f t="shared" si="1"/>
        <v>19</v>
      </c>
      <c r="I86">
        <v>33</v>
      </c>
      <c r="J86">
        <v>1053</v>
      </c>
      <c r="K86">
        <v>410</v>
      </c>
      <c r="L86" t="s">
        <v>442</v>
      </c>
    </row>
    <row r="87" spans="1:12" x14ac:dyDescent="0.3">
      <c r="A87" t="s">
        <v>443</v>
      </c>
      <c r="B87" t="s">
        <v>444</v>
      </c>
      <c r="D87" t="s">
        <v>30</v>
      </c>
      <c r="E87" t="s">
        <v>445</v>
      </c>
      <c r="H87" s="1">
        <f t="shared" si="1"/>
        <v>1</v>
      </c>
      <c r="I87">
        <v>153</v>
      </c>
      <c r="J87">
        <v>1048</v>
      </c>
      <c r="K87">
        <v>0</v>
      </c>
      <c r="L87" t="s">
        <v>446</v>
      </c>
    </row>
    <row r="88" spans="1:12" x14ac:dyDescent="0.3">
      <c r="A88" t="s">
        <v>447</v>
      </c>
      <c r="B88" t="s">
        <v>448</v>
      </c>
      <c r="C88" t="s">
        <v>449</v>
      </c>
      <c r="D88" t="s">
        <v>30</v>
      </c>
      <c r="F88" t="b">
        <v>1</v>
      </c>
      <c r="G88" t="s">
        <v>450</v>
      </c>
      <c r="H88" s="1">
        <f t="shared" si="1"/>
        <v>6</v>
      </c>
      <c r="I88">
        <v>109</v>
      </c>
      <c r="J88">
        <v>1036</v>
      </c>
      <c r="K88">
        <v>400</v>
      </c>
      <c r="L88" t="s">
        <v>451</v>
      </c>
    </row>
    <row r="89" spans="1:12" x14ac:dyDescent="0.3">
      <c r="A89" t="s">
        <v>452</v>
      </c>
      <c r="B89" t="s">
        <v>453</v>
      </c>
      <c r="D89" t="s">
        <v>30</v>
      </c>
      <c r="H89" s="1">
        <f t="shared" si="1"/>
        <v>1</v>
      </c>
      <c r="I89">
        <v>86</v>
      </c>
      <c r="J89">
        <v>1028</v>
      </c>
      <c r="K89">
        <v>0</v>
      </c>
      <c r="L89" t="s">
        <v>454</v>
      </c>
    </row>
    <row r="90" spans="1:12" x14ac:dyDescent="0.3">
      <c r="A90" t="s">
        <v>455</v>
      </c>
      <c r="B90" t="s">
        <v>456</v>
      </c>
      <c r="C90" t="s">
        <v>457</v>
      </c>
      <c r="D90" t="s">
        <v>30</v>
      </c>
      <c r="E90" t="s">
        <v>458</v>
      </c>
      <c r="G90" t="s">
        <v>459</v>
      </c>
      <c r="H90" s="1">
        <f t="shared" si="1"/>
        <v>16</v>
      </c>
      <c r="I90">
        <v>81</v>
      </c>
      <c r="J90">
        <v>1023</v>
      </c>
      <c r="K90">
        <v>1</v>
      </c>
      <c r="L90" t="s">
        <v>460</v>
      </c>
    </row>
    <row r="91" spans="1:12" x14ac:dyDescent="0.3">
      <c r="A91" t="s">
        <v>461</v>
      </c>
      <c r="B91" t="s">
        <v>461</v>
      </c>
      <c r="D91" t="s">
        <v>462</v>
      </c>
      <c r="E91" t="s">
        <v>463</v>
      </c>
      <c r="F91" t="b">
        <v>1</v>
      </c>
      <c r="G91" t="s">
        <v>464</v>
      </c>
      <c r="H91" s="1">
        <f t="shared" si="1"/>
        <v>3</v>
      </c>
      <c r="I91">
        <v>37</v>
      </c>
      <c r="J91">
        <v>1021</v>
      </c>
      <c r="K91">
        <v>199</v>
      </c>
      <c r="L91" t="s">
        <v>465</v>
      </c>
    </row>
    <row r="92" spans="1:12" x14ac:dyDescent="0.3">
      <c r="A92" t="s">
        <v>466</v>
      </c>
      <c r="B92" t="s">
        <v>467</v>
      </c>
      <c r="C92" t="s">
        <v>468</v>
      </c>
      <c r="D92" t="s">
        <v>30</v>
      </c>
      <c r="E92" t="s">
        <v>469</v>
      </c>
      <c r="G92" t="s">
        <v>470</v>
      </c>
      <c r="H92" s="1">
        <f t="shared" si="1"/>
        <v>15</v>
      </c>
      <c r="I92">
        <v>19</v>
      </c>
      <c r="J92">
        <v>1019</v>
      </c>
      <c r="K92">
        <v>6</v>
      </c>
      <c r="L92" t="s">
        <v>471</v>
      </c>
    </row>
    <row r="93" spans="1:12" x14ac:dyDescent="0.3">
      <c r="A93" t="s">
        <v>472</v>
      </c>
      <c r="B93" t="s">
        <v>473</v>
      </c>
      <c r="D93" t="s">
        <v>30</v>
      </c>
      <c r="E93" t="s">
        <v>474</v>
      </c>
      <c r="G93" t="s">
        <v>475</v>
      </c>
      <c r="H93" s="1">
        <f t="shared" si="1"/>
        <v>11</v>
      </c>
      <c r="I93">
        <v>106</v>
      </c>
      <c r="J93">
        <v>1007</v>
      </c>
      <c r="K93">
        <v>76</v>
      </c>
      <c r="L93" t="s">
        <v>476</v>
      </c>
    </row>
    <row r="94" spans="1:12" x14ac:dyDescent="0.3">
      <c r="A94" t="s">
        <v>477</v>
      </c>
      <c r="B94" t="s">
        <v>478</v>
      </c>
      <c r="C94" t="s">
        <v>479</v>
      </c>
      <c r="D94" t="s">
        <v>30</v>
      </c>
      <c r="E94" t="s">
        <v>480</v>
      </c>
      <c r="G94" t="s">
        <v>481</v>
      </c>
      <c r="H94" s="1">
        <f t="shared" si="1"/>
        <v>2</v>
      </c>
      <c r="I94">
        <v>99</v>
      </c>
      <c r="J94">
        <v>1000</v>
      </c>
      <c r="K94">
        <v>16</v>
      </c>
      <c r="L94" t="s">
        <v>482</v>
      </c>
    </row>
    <row r="95" spans="1:12" ht="230.4" x14ac:dyDescent="0.3">
      <c r="A95" t="s">
        <v>483</v>
      </c>
      <c r="B95" t="s">
        <v>484</v>
      </c>
      <c r="C95" t="s">
        <v>485</v>
      </c>
      <c r="D95" t="s">
        <v>13</v>
      </c>
      <c r="G95" s="1" t="s">
        <v>486</v>
      </c>
      <c r="H95" s="1">
        <f t="shared" si="1"/>
        <v>11</v>
      </c>
      <c r="I95">
        <v>91</v>
      </c>
      <c r="J95">
        <v>999</v>
      </c>
      <c r="K95">
        <v>43</v>
      </c>
      <c r="L95" t="s">
        <v>487</v>
      </c>
    </row>
    <row r="96" spans="1:12" x14ac:dyDescent="0.3">
      <c r="A96" t="s">
        <v>488</v>
      </c>
      <c r="B96" t="s">
        <v>489</v>
      </c>
      <c r="C96" t="s">
        <v>195</v>
      </c>
      <c r="D96" t="s">
        <v>13</v>
      </c>
      <c r="E96" t="s">
        <v>490</v>
      </c>
      <c r="G96" t="s">
        <v>491</v>
      </c>
      <c r="H96" s="1">
        <f t="shared" si="1"/>
        <v>3</v>
      </c>
      <c r="I96">
        <v>112</v>
      </c>
      <c r="J96">
        <v>993</v>
      </c>
      <c r="K96">
        <v>33</v>
      </c>
      <c r="L96" t="s">
        <v>492</v>
      </c>
    </row>
    <row r="97" spans="1:12" ht="230.4" x14ac:dyDescent="0.3">
      <c r="A97" t="s">
        <v>493</v>
      </c>
      <c r="B97" t="s">
        <v>494</v>
      </c>
      <c r="C97" t="s">
        <v>495</v>
      </c>
      <c r="D97" t="s">
        <v>496</v>
      </c>
      <c r="E97" t="s">
        <v>497</v>
      </c>
      <c r="F97" t="b">
        <v>1</v>
      </c>
      <c r="G97" s="1" t="s">
        <v>498</v>
      </c>
      <c r="H97" s="1">
        <f t="shared" si="1"/>
        <v>15</v>
      </c>
      <c r="I97">
        <v>47</v>
      </c>
      <c r="J97">
        <v>984</v>
      </c>
      <c r="K97">
        <v>236</v>
      </c>
      <c r="L97" t="s">
        <v>499</v>
      </c>
    </row>
    <row r="98" spans="1:12" x14ac:dyDescent="0.3">
      <c r="A98" t="s">
        <v>500</v>
      </c>
      <c r="B98" t="s">
        <v>501</v>
      </c>
      <c r="C98" t="s">
        <v>502</v>
      </c>
      <c r="D98" t="s">
        <v>30</v>
      </c>
      <c r="E98" t="s">
        <v>503</v>
      </c>
      <c r="G98" t="s">
        <v>504</v>
      </c>
      <c r="H98" s="1">
        <f t="shared" si="1"/>
        <v>8</v>
      </c>
      <c r="I98">
        <v>139</v>
      </c>
      <c r="J98">
        <v>978</v>
      </c>
      <c r="K98">
        <v>10</v>
      </c>
      <c r="L98" t="s">
        <v>505</v>
      </c>
    </row>
    <row r="99" spans="1:12" x14ac:dyDescent="0.3">
      <c r="A99" t="s">
        <v>506</v>
      </c>
      <c r="B99" t="s">
        <v>507</v>
      </c>
      <c r="D99" t="s">
        <v>30</v>
      </c>
      <c r="F99" t="b">
        <v>1</v>
      </c>
      <c r="G99" t="s">
        <v>508</v>
      </c>
      <c r="H99" s="1">
        <f t="shared" si="1"/>
        <v>5</v>
      </c>
      <c r="I99">
        <v>5</v>
      </c>
      <c r="J99">
        <v>957</v>
      </c>
      <c r="K99">
        <v>17</v>
      </c>
      <c r="L99" t="s">
        <v>509</v>
      </c>
    </row>
    <row r="100" spans="1:12" x14ac:dyDescent="0.3">
      <c r="A100" t="s">
        <v>510</v>
      </c>
      <c r="B100" t="s">
        <v>511</v>
      </c>
      <c r="D100" t="s">
        <v>13</v>
      </c>
      <c r="E100" t="s">
        <v>512</v>
      </c>
      <c r="G100" t="s">
        <v>513</v>
      </c>
      <c r="H100" s="1">
        <f t="shared" si="1"/>
        <v>14</v>
      </c>
      <c r="I100">
        <v>220</v>
      </c>
      <c r="J100">
        <v>942</v>
      </c>
      <c r="K100">
        <v>122</v>
      </c>
      <c r="L100" t="s">
        <v>514</v>
      </c>
    </row>
    <row r="101" spans="1:12" ht="86.4" x14ac:dyDescent="0.3">
      <c r="A101" t="s">
        <v>515</v>
      </c>
      <c r="B101" t="s">
        <v>516</v>
      </c>
      <c r="D101" t="s">
        <v>13</v>
      </c>
      <c r="F101" t="b">
        <v>1</v>
      </c>
      <c r="G101" s="1" t="s">
        <v>517</v>
      </c>
      <c r="H101" s="1">
        <f t="shared" si="1"/>
        <v>4</v>
      </c>
      <c r="I101">
        <v>46</v>
      </c>
      <c r="J101">
        <v>918</v>
      </c>
      <c r="K101">
        <v>54</v>
      </c>
      <c r="L101" t="s">
        <v>518</v>
      </c>
    </row>
    <row r="102" spans="1:12" ht="288" x14ac:dyDescent="0.3">
      <c r="A102" t="s">
        <v>519</v>
      </c>
      <c r="B102" t="s">
        <v>520</v>
      </c>
      <c r="D102" t="s">
        <v>310</v>
      </c>
      <c r="E102" t="s">
        <v>521</v>
      </c>
      <c r="G102" s="1" t="s">
        <v>522</v>
      </c>
      <c r="H102" s="1">
        <f t="shared" si="1"/>
        <v>18</v>
      </c>
      <c r="I102">
        <v>314</v>
      </c>
      <c r="J102">
        <v>915</v>
      </c>
      <c r="K102">
        <v>21</v>
      </c>
      <c r="L102" t="s">
        <v>523</v>
      </c>
    </row>
    <row r="103" spans="1:12" x14ac:dyDescent="0.3">
      <c r="A103" t="s">
        <v>524</v>
      </c>
      <c r="B103" t="s">
        <v>525</v>
      </c>
      <c r="C103" t="s">
        <v>526</v>
      </c>
      <c r="D103" t="s">
        <v>30</v>
      </c>
      <c r="E103" t="s">
        <v>527</v>
      </c>
      <c r="F103" t="b">
        <v>1</v>
      </c>
      <c r="G103" t="s">
        <v>528</v>
      </c>
      <c r="H103" s="1">
        <f t="shared" si="1"/>
        <v>6</v>
      </c>
      <c r="I103">
        <v>49</v>
      </c>
      <c r="J103">
        <v>915</v>
      </c>
      <c r="K103">
        <v>205</v>
      </c>
      <c r="L103" t="s">
        <v>529</v>
      </c>
    </row>
    <row r="104" spans="1:12" x14ac:dyDescent="0.3">
      <c r="A104" t="s">
        <v>530</v>
      </c>
      <c r="B104" t="s">
        <v>531</v>
      </c>
      <c r="C104" t="s">
        <v>29</v>
      </c>
      <c r="D104" t="s">
        <v>13</v>
      </c>
      <c r="E104" t="s">
        <v>532</v>
      </c>
      <c r="H104" s="1">
        <f t="shared" si="1"/>
        <v>1</v>
      </c>
      <c r="I104">
        <v>53</v>
      </c>
      <c r="J104">
        <v>910</v>
      </c>
      <c r="K104">
        <v>257</v>
      </c>
      <c r="L104" t="s">
        <v>533</v>
      </c>
    </row>
    <row r="105" spans="1:12" x14ac:dyDescent="0.3">
      <c r="A105" t="s">
        <v>534</v>
      </c>
      <c r="B105" t="s">
        <v>535</v>
      </c>
      <c r="D105" t="s">
        <v>30</v>
      </c>
      <c r="E105" t="s">
        <v>536</v>
      </c>
      <c r="F105" t="b">
        <v>1</v>
      </c>
      <c r="G105" t="s">
        <v>537</v>
      </c>
      <c r="H105" s="1">
        <f t="shared" si="1"/>
        <v>9</v>
      </c>
      <c r="I105">
        <v>370</v>
      </c>
      <c r="J105">
        <v>892</v>
      </c>
      <c r="K105">
        <v>18</v>
      </c>
      <c r="L105" t="s">
        <v>538</v>
      </c>
    </row>
    <row r="106" spans="1:12" ht="216" x14ac:dyDescent="0.3">
      <c r="A106" t="s">
        <v>539</v>
      </c>
      <c r="B106" t="s">
        <v>540</v>
      </c>
      <c r="C106" t="s">
        <v>541</v>
      </c>
      <c r="D106" t="s">
        <v>30</v>
      </c>
      <c r="E106" t="s">
        <v>542</v>
      </c>
      <c r="G106" s="1" t="s">
        <v>543</v>
      </c>
      <c r="H106" s="1">
        <f t="shared" si="1"/>
        <v>16</v>
      </c>
      <c r="I106">
        <v>68</v>
      </c>
      <c r="J106">
        <v>891</v>
      </c>
      <c r="K106">
        <v>44</v>
      </c>
      <c r="L106" t="s">
        <v>544</v>
      </c>
    </row>
    <row r="107" spans="1:12" ht="288" x14ac:dyDescent="0.3">
      <c r="A107" t="s">
        <v>545</v>
      </c>
      <c r="B107" t="s">
        <v>546</v>
      </c>
      <c r="D107" t="s">
        <v>547</v>
      </c>
      <c r="G107" s="1" t="s">
        <v>548</v>
      </c>
      <c r="H107" s="1">
        <f t="shared" si="1"/>
        <v>22</v>
      </c>
      <c r="I107">
        <v>79</v>
      </c>
      <c r="J107">
        <v>886</v>
      </c>
      <c r="K107">
        <v>3</v>
      </c>
      <c r="L107" t="s">
        <v>549</v>
      </c>
    </row>
    <row r="108" spans="1:12" x14ac:dyDescent="0.3">
      <c r="A108" t="s">
        <v>550</v>
      </c>
      <c r="B108" t="s">
        <v>551</v>
      </c>
      <c r="C108" t="s">
        <v>552</v>
      </c>
      <c r="D108" t="s">
        <v>30</v>
      </c>
      <c r="E108" t="s">
        <v>553</v>
      </c>
      <c r="H108" s="1">
        <f t="shared" si="1"/>
        <v>1</v>
      </c>
      <c r="I108">
        <v>163</v>
      </c>
      <c r="J108">
        <v>879</v>
      </c>
      <c r="K108">
        <v>6</v>
      </c>
      <c r="L108" t="s">
        <v>554</v>
      </c>
    </row>
    <row r="109" spans="1:12" x14ac:dyDescent="0.3">
      <c r="A109" t="s">
        <v>555</v>
      </c>
      <c r="B109" t="s">
        <v>556</v>
      </c>
      <c r="C109" t="s">
        <v>557</v>
      </c>
      <c r="D109" t="s">
        <v>13</v>
      </c>
      <c r="E109" t="s">
        <v>558</v>
      </c>
      <c r="G109" t="s">
        <v>559</v>
      </c>
      <c r="H109" s="1">
        <f t="shared" si="1"/>
        <v>2</v>
      </c>
      <c r="I109">
        <v>30</v>
      </c>
      <c r="J109">
        <v>878</v>
      </c>
      <c r="K109">
        <v>909</v>
      </c>
      <c r="L109" t="s">
        <v>560</v>
      </c>
    </row>
    <row r="110" spans="1:12" x14ac:dyDescent="0.3">
      <c r="A110" t="s">
        <v>561</v>
      </c>
      <c r="B110" t="s">
        <v>562</v>
      </c>
      <c r="D110" t="s">
        <v>30</v>
      </c>
      <c r="E110" t="s">
        <v>563</v>
      </c>
      <c r="F110" t="b">
        <v>1</v>
      </c>
      <c r="G110" t="s">
        <v>564</v>
      </c>
      <c r="H110" s="1">
        <f t="shared" si="1"/>
        <v>9</v>
      </c>
      <c r="I110">
        <v>163</v>
      </c>
      <c r="J110">
        <v>871</v>
      </c>
      <c r="K110">
        <v>43</v>
      </c>
      <c r="L110" t="s">
        <v>565</v>
      </c>
    </row>
    <row r="111" spans="1:12" x14ac:dyDescent="0.3">
      <c r="A111" t="s">
        <v>566</v>
      </c>
      <c r="B111" t="s">
        <v>567</v>
      </c>
      <c r="C111" t="s">
        <v>568</v>
      </c>
      <c r="D111" t="s">
        <v>569</v>
      </c>
      <c r="E111" t="s">
        <v>570</v>
      </c>
      <c r="G111" t="s">
        <v>571</v>
      </c>
      <c r="H111" s="1">
        <f t="shared" si="1"/>
        <v>4</v>
      </c>
      <c r="I111">
        <v>52</v>
      </c>
      <c r="J111">
        <v>866</v>
      </c>
      <c r="K111">
        <v>37</v>
      </c>
      <c r="L111" t="s">
        <v>572</v>
      </c>
    </row>
    <row r="112" spans="1:12" x14ac:dyDescent="0.3">
      <c r="A112" t="s">
        <v>573</v>
      </c>
      <c r="B112" t="s">
        <v>574</v>
      </c>
      <c r="D112" t="s">
        <v>13</v>
      </c>
      <c r="E112" t="s">
        <v>575</v>
      </c>
      <c r="G112" t="s">
        <v>576</v>
      </c>
      <c r="H112" s="1">
        <f t="shared" si="1"/>
        <v>10</v>
      </c>
      <c r="I112">
        <v>61</v>
      </c>
      <c r="J112">
        <v>863</v>
      </c>
      <c r="K112">
        <v>0</v>
      </c>
      <c r="L112" t="s">
        <v>577</v>
      </c>
    </row>
    <row r="113" spans="1:12" x14ac:dyDescent="0.3">
      <c r="A113" t="s">
        <v>578</v>
      </c>
      <c r="B113" t="s">
        <v>579</v>
      </c>
      <c r="C113" t="s">
        <v>580</v>
      </c>
      <c r="D113" t="s">
        <v>13</v>
      </c>
      <c r="G113" t="s">
        <v>581</v>
      </c>
      <c r="H113" s="1">
        <f t="shared" si="1"/>
        <v>5</v>
      </c>
      <c r="I113">
        <v>0</v>
      </c>
      <c r="J113">
        <v>863</v>
      </c>
      <c r="K113">
        <v>0</v>
      </c>
      <c r="L113" t="s">
        <v>582</v>
      </c>
    </row>
    <row r="114" spans="1:12" x14ac:dyDescent="0.3">
      <c r="A114" t="s">
        <v>583</v>
      </c>
      <c r="B114" t="s">
        <v>584</v>
      </c>
      <c r="C114" t="s">
        <v>585</v>
      </c>
      <c r="D114" t="s">
        <v>13</v>
      </c>
      <c r="H114" s="1">
        <f t="shared" si="1"/>
        <v>1</v>
      </c>
      <c r="I114">
        <v>42</v>
      </c>
      <c r="J114">
        <v>845</v>
      </c>
      <c r="K114">
        <v>30</v>
      </c>
      <c r="L114" t="s">
        <v>586</v>
      </c>
    </row>
    <row r="115" spans="1:12" x14ac:dyDescent="0.3">
      <c r="A115" t="s">
        <v>587</v>
      </c>
      <c r="B115" t="s">
        <v>588</v>
      </c>
      <c r="C115" t="s">
        <v>589</v>
      </c>
      <c r="D115" t="s">
        <v>13</v>
      </c>
      <c r="F115" t="b">
        <v>1</v>
      </c>
      <c r="G115" t="s">
        <v>590</v>
      </c>
      <c r="H115" s="1">
        <f t="shared" si="1"/>
        <v>3</v>
      </c>
      <c r="I115">
        <v>91</v>
      </c>
      <c r="J115">
        <v>844</v>
      </c>
      <c r="K115">
        <v>30</v>
      </c>
      <c r="L115" t="s">
        <v>591</v>
      </c>
    </row>
    <row r="116" spans="1:12" ht="259.2" x14ac:dyDescent="0.3">
      <c r="A116" t="s">
        <v>592</v>
      </c>
      <c r="B116" t="s">
        <v>593</v>
      </c>
      <c r="C116" t="s">
        <v>594</v>
      </c>
      <c r="D116" t="s">
        <v>30</v>
      </c>
      <c r="G116" s="1" t="s">
        <v>595</v>
      </c>
      <c r="H116" s="1">
        <f t="shared" si="1"/>
        <v>14</v>
      </c>
      <c r="I116">
        <v>91</v>
      </c>
      <c r="J116">
        <v>839</v>
      </c>
      <c r="K116">
        <v>118</v>
      </c>
      <c r="L116" t="s">
        <v>596</v>
      </c>
    </row>
    <row r="117" spans="1:12" x14ac:dyDescent="0.3">
      <c r="A117" t="s">
        <v>597</v>
      </c>
      <c r="B117" t="s">
        <v>598</v>
      </c>
      <c r="D117" t="s">
        <v>599</v>
      </c>
      <c r="F117" t="b">
        <v>1</v>
      </c>
      <c r="G117" t="s">
        <v>600</v>
      </c>
      <c r="H117" s="1">
        <f t="shared" si="1"/>
        <v>13</v>
      </c>
      <c r="I117">
        <v>26</v>
      </c>
      <c r="J117">
        <v>835</v>
      </c>
      <c r="K117">
        <v>33</v>
      </c>
      <c r="L117" t="s">
        <v>601</v>
      </c>
    </row>
    <row r="118" spans="1:12" x14ac:dyDescent="0.3">
      <c r="A118" t="s">
        <v>602</v>
      </c>
      <c r="B118" t="s">
        <v>603</v>
      </c>
      <c r="C118" t="s">
        <v>604</v>
      </c>
      <c r="D118" t="s">
        <v>290</v>
      </c>
      <c r="E118" t="s">
        <v>605</v>
      </c>
      <c r="H118" s="1">
        <f t="shared" si="1"/>
        <v>1</v>
      </c>
      <c r="I118">
        <v>113</v>
      </c>
      <c r="J118">
        <v>815</v>
      </c>
      <c r="K118">
        <v>28</v>
      </c>
      <c r="L118" t="s">
        <v>606</v>
      </c>
    </row>
    <row r="119" spans="1:12" ht="273.60000000000002" x14ac:dyDescent="0.3">
      <c r="A119" t="s">
        <v>607</v>
      </c>
      <c r="B119" t="s">
        <v>608</v>
      </c>
      <c r="D119" t="s">
        <v>13</v>
      </c>
      <c r="F119" t="b">
        <v>1</v>
      </c>
      <c r="G119" s="1" t="s">
        <v>609</v>
      </c>
      <c r="H119" s="1">
        <f t="shared" si="1"/>
        <v>19</v>
      </c>
      <c r="I119">
        <v>119</v>
      </c>
      <c r="J119">
        <v>814</v>
      </c>
      <c r="K119">
        <v>3</v>
      </c>
      <c r="L119" t="s">
        <v>610</v>
      </c>
    </row>
    <row r="120" spans="1:12" x14ac:dyDescent="0.3">
      <c r="A120" t="s">
        <v>611</v>
      </c>
      <c r="B120" t="s">
        <v>612</v>
      </c>
      <c r="C120" t="s">
        <v>613</v>
      </c>
      <c r="D120" t="s">
        <v>30</v>
      </c>
      <c r="F120" t="b">
        <v>1</v>
      </c>
      <c r="G120" t="s">
        <v>614</v>
      </c>
      <c r="H120" s="1">
        <f t="shared" si="1"/>
        <v>3</v>
      </c>
      <c r="I120">
        <v>37</v>
      </c>
      <c r="J120">
        <v>810</v>
      </c>
      <c r="K120">
        <v>857</v>
      </c>
      <c r="L120" t="s">
        <v>615</v>
      </c>
    </row>
    <row r="121" spans="1:12" ht="316.8" x14ac:dyDescent="0.3">
      <c r="A121" t="s">
        <v>616</v>
      </c>
      <c r="B121" t="s">
        <v>617</v>
      </c>
      <c r="C121" t="s">
        <v>618</v>
      </c>
      <c r="D121" t="s">
        <v>30</v>
      </c>
      <c r="E121" t="s">
        <v>619</v>
      </c>
      <c r="G121" s="1" t="s">
        <v>620</v>
      </c>
      <c r="H121" s="1">
        <f t="shared" si="1"/>
        <v>21</v>
      </c>
      <c r="I121">
        <v>92</v>
      </c>
      <c r="J121">
        <v>798</v>
      </c>
      <c r="K121">
        <v>51</v>
      </c>
      <c r="L121" t="s">
        <v>621</v>
      </c>
    </row>
    <row r="122" spans="1:12" x14ac:dyDescent="0.3">
      <c r="A122" t="s">
        <v>622</v>
      </c>
      <c r="B122" t="s">
        <v>623</v>
      </c>
      <c r="C122" t="s">
        <v>624</v>
      </c>
      <c r="D122" t="s">
        <v>625</v>
      </c>
      <c r="E122" t="s">
        <v>626</v>
      </c>
      <c r="F122" t="b">
        <v>1</v>
      </c>
      <c r="G122" t="s">
        <v>627</v>
      </c>
      <c r="H122" s="1">
        <f t="shared" si="1"/>
        <v>2</v>
      </c>
      <c r="I122">
        <v>258</v>
      </c>
      <c r="J122">
        <v>788</v>
      </c>
      <c r="K122">
        <v>368</v>
      </c>
      <c r="L122" t="s">
        <v>628</v>
      </c>
    </row>
    <row r="123" spans="1:12" x14ac:dyDescent="0.3">
      <c r="A123" t="s">
        <v>629</v>
      </c>
      <c r="B123" t="s">
        <v>630</v>
      </c>
      <c r="C123" t="s">
        <v>631</v>
      </c>
      <c r="D123" t="s">
        <v>30</v>
      </c>
      <c r="G123" t="s">
        <v>632</v>
      </c>
      <c r="H123" s="1">
        <f t="shared" si="1"/>
        <v>8</v>
      </c>
      <c r="I123">
        <v>186</v>
      </c>
      <c r="J123">
        <v>782</v>
      </c>
      <c r="K123">
        <v>54</v>
      </c>
      <c r="L123" t="s">
        <v>633</v>
      </c>
    </row>
    <row r="124" spans="1:12" x14ac:dyDescent="0.3">
      <c r="A124" t="s">
        <v>634</v>
      </c>
      <c r="B124" t="s">
        <v>635</v>
      </c>
      <c r="D124" t="s">
        <v>13</v>
      </c>
      <c r="E124" t="s">
        <v>636</v>
      </c>
      <c r="F124" t="b">
        <v>1</v>
      </c>
      <c r="G124" t="s">
        <v>637</v>
      </c>
      <c r="H124" s="1">
        <f t="shared" si="1"/>
        <v>4</v>
      </c>
      <c r="I124">
        <v>129</v>
      </c>
      <c r="J124">
        <v>776</v>
      </c>
      <c r="K124">
        <v>6</v>
      </c>
      <c r="L124" t="s">
        <v>638</v>
      </c>
    </row>
    <row r="125" spans="1:12" ht="216" x14ac:dyDescent="0.3">
      <c r="A125" t="s">
        <v>639</v>
      </c>
      <c r="B125" t="s">
        <v>640</v>
      </c>
      <c r="C125" t="s">
        <v>641</v>
      </c>
      <c r="D125" t="s">
        <v>30</v>
      </c>
      <c r="G125" s="1" t="s">
        <v>642</v>
      </c>
      <c r="H125" s="1">
        <f t="shared" si="1"/>
        <v>6</v>
      </c>
      <c r="I125">
        <v>132</v>
      </c>
      <c r="J125">
        <v>775</v>
      </c>
      <c r="K125">
        <v>10</v>
      </c>
      <c r="L125" t="s">
        <v>643</v>
      </c>
    </row>
    <row r="126" spans="1:12" x14ac:dyDescent="0.3">
      <c r="A126" t="s">
        <v>644</v>
      </c>
      <c r="B126" t="s">
        <v>645</v>
      </c>
      <c r="C126" t="s">
        <v>646</v>
      </c>
      <c r="D126" t="s">
        <v>13</v>
      </c>
      <c r="E126" t="s">
        <v>647</v>
      </c>
      <c r="G126" t="s">
        <v>648</v>
      </c>
      <c r="H126" s="1">
        <f t="shared" si="1"/>
        <v>2</v>
      </c>
      <c r="I126">
        <v>40</v>
      </c>
      <c r="J126">
        <v>775</v>
      </c>
      <c r="K126">
        <v>11</v>
      </c>
      <c r="L126" t="s">
        <v>649</v>
      </c>
    </row>
    <row r="127" spans="1:12" x14ac:dyDescent="0.3">
      <c r="A127" t="s">
        <v>650</v>
      </c>
      <c r="B127" t="s">
        <v>651</v>
      </c>
      <c r="C127" t="s">
        <v>652</v>
      </c>
      <c r="D127" t="s">
        <v>30</v>
      </c>
      <c r="E127" t="s">
        <v>653</v>
      </c>
      <c r="G127" t="s">
        <v>654</v>
      </c>
      <c r="H127" s="1">
        <f t="shared" si="1"/>
        <v>14</v>
      </c>
      <c r="I127">
        <v>582</v>
      </c>
      <c r="J127">
        <v>767</v>
      </c>
      <c r="K127">
        <v>94</v>
      </c>
      <c r="L127" t="s">
        <v>655</v>
      </c>
    </row>
    <row r="128" spans="1:12" x14ac:dyDescent="0.3">
      <c r="A128" t="s">
        <v>656</v>
      </c>
      <c r="B128" t="s">
        <v>657</v>
      </c>
      <c r="C128" t="s">
        <v>658</v>
      </c>
      <c r="D128" t="s">
        <v>659</v>
      </c>
      <c r="E128" t="s">
        <v>660</v>
      </c>
      <c r="H128" s="1">
        <f t="shared" si="1"/>
        <v>1</v>
      </c>
      <c r="I128">
        <v>145</v>
      </c>
      <c r="J128">
        <v>766</v>
      </c>
      <c r="K128">
        <v>78</v>
      </c>
      <c r="L128" t="s">
        <v>661</v>
      </c>
    </row>
    <row r="129" spans="1:12" x14ac:dyDescent="0.3">
      <c r="A129" t="s">
        <v>662</v>
      </c>
      <c r="B129" t="s">
        <v>663</v>
      </c>
      <c r="C129" t="s">
        <v>664</v>
      </c>
      <c r="D129" t="s">
        <v>30</v>
      </c>
      <c r="E129" t="s">
        <v>665</v>
      </c>
      <c r="F129" t="b">
        <v>1</v>
      </c>
      <c r="G129" t="s">
        <v>666</v>
      </c>
      <c r="H129" s="1">
        <f t="shared" si="1"/>
        <v>5</v>
      </c>
      <c r="I129">
        <v>202</v>
      </c>
      <c r="J129">
        <v>765</v>
      </c>
      <c r="K129">
        <v>0</v>
      </c>
      <c r="L129" t="s">
        <v>667</v>
      </c>
    </row>
    <row r="130" spans="1:12" x14ac:dyDescent="0.3">
      <c r="A130" t="s">
        <v>668</v>
      </c>
      <c r="B130" t="s">
        <v>669</v>
      </c>
      <c r="C130" t="s">
        <v>670</v>
      </c>
      <c r="D130" t="s">
        <v>13</v>
      </c>
      <c r="F130" t="b">
        <v>1</v>
      </c>
      <c r="G130" t="s">
        <v>671</v>
      </c>
      <c r="H130" s="1">
        <f t="shared" si="1"/>
        <v>1</v>
      </c>
      <c r="I130">
        <v>6</v>
      </c>
      <c r="J130">
        <v>763</v>
      </c>
      <c r="K130">
        <v>9</v>
      </c>
      <c r="L130" t="s">
        <v>672</v>
      </c>
    </row>
    <row r="131" spans="1:12" ht="100.8" x14ac:dyDescent="0.3">
      <c r="A131" t="s">
        <v>673</v>
      </c>
      <c r="B131" t="s">
        <v>674</v>
      </c>
      <c r="D131" t="s">
        <v>30</v>
      </c>
      <c r="G131" s="1" t="s">
        <v>675</v>
      </c>
      <c r="H131" s="1">
        <f t="shared" ref="H131:H194" si="2">LEN(TRIM(G131))-LEN(SUBSTITUTE(TRIM(G131)," ",""))+1</f>
        <v>9</v>
      </c>
      <c r="I131">
        <v>97</v>
      </c>
      <c r="J131">
        <v>758</v>
      </c>
      <c r="K131">
        <v>68</v>
      </c>
      <c r="L131" t="s">
        <v>676</v>
      </c>
    </row>
    <row r="132" spans="1:12" ht="86.4" x14ac:dyDescent="0.3">
      <c r="A132" t="s">
        <v>677</v>
      </c>
      <c r="B132" t="s">
        <v>678</v>
      </c>
      <c r="C132" t="s">
        <v>679</v>
      </c>
      <c r="D132" t="s">
        <v>30</v>
      </c>
      <c r="E132" t="s">
        <v>680</v>
      </c>
      <c r="G132" s="1" t="s">
        <v>681</v>
      </c>
      <c r="H132" s="1">
        <f t="shared" si="2"/>
        <v>3</v>
      </c>
      <c r="I132">
        <v>111</v>
      </c>
      <c r="J132">
        <v>758</v>
      </c>
      <c r="K132">
        <v>179</v>
      </c>
      <c r="L132" t="s">
        <v>682</v>
      </c>
    </row>
    <row r="133" spans="1:12" x14ac:dyDescent="0.3">
      <c r="A133" t="s">
        <v>683</v>
      </c>
      <c r="B133" t="s">
        <v>684</v>
      </c>
      <c r="C133" t="s">
        <v>685</v>
      </c>
      <c r="D133" t="s">
        <v>30</v>
      </c>
      <c r="E133" t="s">
        <v>686</v>
      </c>
      <c r="G133" t="s">
        <v>687</v>
      </c>
      <c r="H133" s="1">
        <f t="shared" si="2"/>
        <v>9</v>
      </c>
      <c r="I133">
        <v>23</v>
      </c>
      <c r="J133">
        <v>755</v>
      </c>
      <c r="K133">
        <v>29</v>
      </c>
      <c r="L133" t="s">
        <v>688</v>
      </c>
    </row>
    <row r="134" spans="1:12" x14ac:dyDescent="0.3">
      <c r="A134" t="s">
        <v>689</v>
      </c>
      <c r="B134" t="s">
        <v>690</v>
      </c>
      <c r="D134" t="s">
        <v>691</v>
      </c>
      <c r="E134" t="s">
        <v>692</v>
      </c>
      <c r="G134" t="s">
        <v>693</v>
      </c>
      <c r="H134" s="1">
        <f t="shared" si="2"/>
        <v>15</v>
      </c>
      <c r="I134">
        <v>49</v>
      </c>
      <c r="J134">
        <v>752</v>
      </c>
      <c r="K134">
        <v>0</v>
      </c>
      <c r="L134" t="s">
        <v>694</v>
      </c>
    </row>
    <row r="135" spans="1:12" x14ac:dyDescent="0.3">
      <c r="A135" t="s">
        <v>695</v>
      </c>
      <c r="B135" t="s">
        <v>696</v>
      </c>
      <c r="C135" t="s">
        <v>697</v>
      </c>
      <c r="D135" t="s">
        <v>13</v>
      </c>
      <c r="F135" t="b">
        <v>1</v>
      </c>
      <c r="G135" t="s">
        <v>698</v>
      </c>
      <c r="H135" s="1">
        <f t="shared" si="2"/>
        <v>1</v>
      </c>
      <c r="I135">
        <v>189</v>
      </c>
      <c r="J135">
        <v>751</v>
      </c>
      <c r="K135">
        <v>45</v>
      </c>
      <c r="L135" t="s">
        <v>699</v>
      </c>
    </row>
    <row r="136" spans="1:12" x14ac:dyDescent="0.3">
      <c r="A136" t="s">
        <v>700</v>
      </c>
      <c r="B136" t="s">
        <v>701</v>
      </c>
      <c r="C136" t="s">
        <v>702</v>
      </c>
      <c r="D136" t="s">
        <v>13</v>
      </c>
      <c r="E136" t="s">
        <v>703</v>
      </c>
      <c r="F136" t="b">
        <v>1</v>
      </c>
      <c r="G136" t="s">
        <v>704</v>
      </c>
      <c r="H136" s="1">
        <f t="shared" si="2"/>
        <v>4</v>
      </c>
      <c r="I136">
        <v>38</v>
      </c>
      <c r="J136">
        <v>740</v>
      </c>
      <c r="K136">
        <v>0</v>
      </c>
      <c r="L136" t="s">
        <v>705</v>
      </c>
    </row>
    <row r="137" spans="1:12" x14ac:dyDescent="0.3">
      <c r="A137" t="s">
        <v>706</v>
      </c>
      <c r="B137" t="s">
        <v>707</v>
      </c>
      <c r="D137" t="s">
        <v>708</v>
      </c>
      <c r="H137" s="1">
        <f t="shared" si="2"/>
        <v>1</v>
      </c>
      <c r="I137">
        <v>57</v>
      </c>
      <c r="J137">
        <v>736</v>
      </c>
      <c r="K137">
        <v>0</v>
      </c>
      <c r="L137" t="s">
        <v>709</v>
      </c>
    </row>
    <row r="138" spans="1:12" x14ac:dyDescent="0.3">
      <c r="A138" t="s">
        <v>710</v>
      </c>
      <c r="B138" t="s">
        <v>711</v>
      </c>
      <c r="D138" t="s">
        <v>13</v>
      </c>
      <c r="G138" t="s">
        <v>712</v>
      </c>
      <c r="H138" s="1">
        <f t="shared" si="2"/>
        <v>1</v>
      </c>
      <c r="I138">
        <v>92</v>
      </c>
      <c r="J138">
        <v>735</v>
      </c>
      <c r="K138">
        <v>12</v>
      </c>
      <c r="L138" t="s">
        <v>713</v>
      </c>
    </row>
    <row r="139" spans="1:12" x14ac:dyDescent="0.3">
      <c r="A139" t="s">
        <v>714</v>
      </c>
      <c r="B139" t="s">
        <v>715</v>
      </c>
      <c r="D139" t="s">
        <v>30</v>
      </c>
      <c r="E139" t="s">
        <v>716</v>
      </c>
      <c r="G139" t="s">
        <v>717</v>
      </c>
      <c r="H139" s="1">
        <f t="shared" si="2"/>
        <v>6</v>
      </c>
      <c r="I139">
        <v>153</v>
      </c>
      <c r="J139">
        <v>730</v>
      </c>
      <c r="K139">
        <v>37</v>
      </c>
      <c r="L139" t="s">
        <v>718</v>
      </c>
    </row>
    <row r="140" spans="1:12" x14ac:dyDescent="0.3">
      <c r="A140" t="s">
        <v>719</v>
      </c>
      <c r="B140" t="s">
        <v>720</v>
      </c>
      <c r="C140" t="s">
        <v>721</v>
      </c>
      <c r="D140" t="s">
        <v>13</v>
      </c>
      <c r="E140" t="s">
        <v>722</v>
      </c>
      <c r="G140" t="s">
        <v>723</v>
      </c>
      <c r="H140" s="1">
        <f t="shared" si="2"/>
        <v>4</v>
      </c>
      <c r="I140">
        <v>289</v>
      </c>
      <c r="J140">
        <v>726</v>
      </c>
      <c r="K140">
        <v>6</v>
      </c>
      <c r="L140" t="s">
        <v>724</v>
      </c>
    </row>
    <row r="141" spans="1:12" x14ac:dyDescent="0.3">
      <c r="A141" t="s">
        <v>725</v>
      </c>
      <c r="B141" t="s">
        <v>726</v>
      </c>
      <c r="C141" t="s">
        <v>727</v>
      </c>
      <c r="D141" t="s">
        <v>13</v>
      </c>
      <c r="E141" t="s">
        <v>728</v>
      </c>
      <c r="F141" t="b">
        <v>1</v>
      </c>
      <c r="G141" t="s">
        <v>729</v>
      </c>
      <c r="H141" s="1">
        <f t="shared" si="2"/>
        <v>15</v>
      </c>
      <c r="I141">
        <v>69</v>
      </c>
      <c r="J141">
        <v>717</v>
      </c>
      <c r="K141">
        <v>307</v>
      </c>
      <c r="L141" t="s">
        <v>730</v>
      </c>
    </row>
    <row r="142" spans="1:12" x14ac:dyDescent="0.3">
      <c r="A142" t="s">
        <v>731</v>
      </c>
      <c r="B142" t="s">
        <v>732</v>
      </c>
      <c r="C142" t="s">
        <v>733</v>
      </c>
      <c r="D142" t="s">
        <v>13</v>
      </c>
      <c r="E142" t="s">
        <v>734</v>
      </c>
      <c r="H142" s="1">
        <f t="shared" si="2"/>
        <v>1</v>
      </c>
      <c r="I142">
        <v>41</v>
      </c>
      <c r="J142">
        <v>714</v>
      </c>
      <c r="K142">
        <v>0</v>
      </c>
      <c r="L142" t="s">
        <v>735</v>
      </c>
    </row>
    <row r="143" spans="1:12" x14ac:dyDescent="0.3">
      <c r="A143" t="s">
        <v>736</v>
      </c>
      <c r="B143" t="s">
        <v>737</v>
      </c>
      <c r="D143" t="s">
        <v>13</v>
      </c>
      <c r="E143" t="s">
        <v>738</v>
      </c>
      <c r="H143" s="1">
        <f t="shared" si="2"/>
        <v>1</v>
      </c>
      <c r="I143">
        <v>61</v>
      </c>
      <c r="J143">
        <v>711</v>
      </c>
      <c r="K143">
        <v>3</v>
      </c>
      <c r="L143" t="s">
        <v>739</v>
      </c>
    </row>
    <row r="144" spans="1:12" ht="259.2" x14ac:dyDescent="0.3">
      <c r="A144" t="s">
        <v>740</v>
      </c>
      <c r="B144" t="s">
        <v>741</v>
      </c>
      <c r="C144" t="s">
        <v>742</v>
      </c>
      <c r="D144" t="s">
        <v>30</v>
      </c>
      <c r="E144" t="s">
        <v>743</v>
      </c>
      <c r="G144" s="1" t="s">
        <v>744</v>
      </c>
      <c r="H144" s="1">
        <f t="shared" si="2"/>
        <v>9</v>
      </c>
      <c r="I144">
        <v>420</v>
      </c>
      <c r="J144">
        <v>709</v>
      </c>
      <c r="K144">
        <v>13</v>
      </c>
      <c r="L144" t="s">
        <v>745</v>
      </c>
    </row>
    <row r="145" spans="1:12" x14ac:dyDescent="0.3">
      <c r="A145" t="s">
        <v>746</v>
      </c>
      <c r="B145" t="s">
        <v>747</v>
      </c>
      <c r="D145" t="s">
        <v>13</v>
      </c>
      <c r="E145" t="s">
        <v>748</v>
      </c>
      <c r="F145" t="b">
        <v>1</v>
      </c>
      <c r="G145" t="s">
        <v>749</v>
      </c>
      <c r="H145" s="1">
        <f t="shared" si="2"/>
        <v>30</v>
      </c>
      <c r="I145">
        <v>63</v>
      </c>
      <c r="J145">
        <v>708</v>
      </c>
      <c r="K145">
        <v>6</v>
      </c>
      <c r="L145" t="s">
        <v>750</v>
      </c>
    </row>
    <row r="146" spans="1:12" ht="144" x14ac:dyDescent="0.3">
      <c r="A146" t="s">
        <v>751</v>
      </c>
      <c r="B146" t="s">
        <v>752</v>
      </c>
      <c r="D146" t="s">
        <v>753</v>
      </c>
      <c r="E146" t="s">
        <v>754</v>
      </c>
      <c r="G146" s="1" t="s">
        <v>755</v>
      </c>
      <c r="H146" s="1">
        <f t="shared" si="2"/>
        <v>5</v>
      </c>
      <c r="I146">
        <v>36</v>
      </c>
      <c r="J146">
        <v>692</v>
      </c>
      <c r="K146">
        <v>10</v>
      </c>
      <c r="L146" t="s">
        <v>756</v>
      </c>
    </row>
    <row r="147" spans="1:12" x14ac:dyDescent="0.3">
      <c r="A147" t="s">
        <v>757</v>
      </c>
      <c r="B147" t="s">
        <v>758</v>
      </c>
      <c r="C147" t="s">
        <v>759</v>
      </c>
      <c r="D147" t="s">
        <v>30</v>
      </c>
      <c r="G147" t="s">
        <v>760</v>
      </c>
      <c r="H147" s="1">
        <f t="shared" si="2"/>
        <v>17</v>
      </c>
      <c r="I147">
        <v>63</v>
      </c>
      <c r="J147">
        <v>691</v>
      </c>
      <c r="K147">
        <v>310</v>
      </c>
      <c r="L147" t="s">
        <v>761</v>
      </c>
    </row>
    <row r="148" spans="1:12" x14ac:dyDescent="0.3">
      <c r="A148" t="s">
        <v>762</v>
      </c>
      <c r="B148" t="s">
        <v>763</v>
      </c>
      <c r="C148" t="s">
        <v>764</v>
      </c>
      <c r="D148" t="s">
        <v>30</v>
      </c>
      <c r="F148" t="b">
        <v>1</v>
      </c>
      <c r="G148" t="s">
        <v>765</v>
      </c>
      <c r="H148" s="1">
        <f t="shared" si="2"/>
        <v>7</v>
      </c>
      <c r="I148">
        <v>35</v>
      </c>
      <c r="J148">
        <v>691</v>
      </c>
      <c r="K148">
        <v>3</v>
      </c>
      <c r="L148" t="s">
        <v>766</v>
      </c>
    </row>
    <row r="149" spans="1:12" x14ac:dyDescent="0.3">
      <c r="A149" t="s">
        <v>767</v>
      </c>
      <c r="B149" t="s">
        <v>768</v>
      </c>
      <c r="C149" t="s">
        <v>769</v>
      </c>
      <c r="D149" t="s">
        <v>30</v>
      </c>
      <c r="F149" t="b">
        <v>1</v>
      </c>
      <c r="H149" s="1">
        <f t="shared" si="2"/>
        <v>1</v>
      </c>
      <c r="I149">
        <v>62</v>
      </c>
      <c r="J149">
        <v>690</v>
      </c>
      <c r="K149">
        <v>125</v>
      </c>
      <c r="L149" t="s">
        <v>770</v>
      </c>
    </row>
    <row r="150" spans="1:12" x14ac:dyDescent="0.3">
      <c r="A150" t="s">
        <v>771</v>
      </c>
      <c r="B150" t="s">
        <v>772</v>
      </c>
      <c r="C150" t="s">
        <v>773</v>
      </c>
      <c r="D150" t="s">
        <v>13</v>
      </c>
      <c r="E150" t="s">
        <v>774</v>
      </c>
      <c r="F150" t="b">
        <v>1</v>
      </c>
      <c r="G150" t="s">
        <v>775</v>
      </c>
      <c r="H150" s="1">
        <f t="shared" si="2"/>
        <v>4</v>
      </c>
      <c r="I150">
        <v>211</v>
      </c>
      <c r="J150">
        <v>690</v>
      </c>
      <c r="K150">
        <v>90</v>
      </c>
      <c r="L150" t="s">
        <v>776</v>
      </c>
    </row>
    <row r="151" spans="1:12" x14ac:dyDescent="0.3">
      <c r="A151" t="s">
        <v>777</v>
      </c>
      <c r="B151" t="s">
        <v>778</v>
      </c>
      <c r="C151" t="s">
        <v>779</v>
      </c>
      <c r="D151" t="s">
        <v>30</v>
      </c>
      <c r="F151" t="b">
        <v>1</v>
      </c>
      <c r="G151" t="s">
        <v>780</v>
      </c>
      <c r="H151" s="1">
        <f t="shared" si="2"/>
        <v>1</v>
      </c>
      <c r="I151">
        <v>61</v>
      </c>
      <c r="J151">
        <v>689</v>
      </c>
      <c r="K151">
        <v>1</v>
      </c>
      <c r="L151" t="s">
        <v>781</v>
      </c>
    </row>
    <row r="152" spans="1:12" x14ac:dyDescent="0.3">
      <c r="A152" t="s">
        <v>782</v>
      </c>
      <c r="B152" t="s">
        <v>783</v>
      </c>
      <c r="C152" t="s">
        <v>784</v>
      </c>
      <c r="D152" t="s">
        <v>30</v>
      </c>
      <c r="E152" t="s">
        <v>785</v>
      </c>
      <c r="F152" t="b">
        <v>1</v>
      </c>
      <c r="G152" t="s">
        <v>786</v>
      </c>
      <c r="H152" s="1">
        <f t="shared" si="2"/>
        <v>14</v>
      </c>
      <c r="I152">
        <v>100</v>
      </c>
      <c r="J152">
        <v>683</v>
      </c>
      <c r="K152">
        <v>199</v>
      </c>
      <c r="L152" t="s">
        <v>787</v>
      </c>
    </row>
    <row r="153" spans="1:12" x14ac:dyDescent="0.3">
      <c r="A153" t="s">
        <v>788</v>
      </c>
      <c r="B153" t="s">
        <v>789</v>
      </c>
      <c r="D153" t="s">
        <v>13</v>
      </c>
      <c r="G153" t="s">
        <v>790</v>
      </c>
      <c r="H153" s="1">
        <f t="shared" si="2"/>
        <v>6</v>
      </c>
      <c r="I153">
        <v>87</v>
      </c>
      <c r="J153">
        <v>680</v>
      </c>
      <c r="K153">
        <v>7</v>
      </c>
      <c r="L153" t="s">
        <v>791</v>
      </c>
    </row>
    <row r="154" spans="1:12" x14ac:dyDescent="0.3">
      <c r="A154" t="s">
        <v>792</v>
      </c>
      <c r="B154" t="s">
        <v>793</v>
      </c>
      <c r="D154" t="s">
        <v>30</v>
      </c>
      <c r="G154" t="s">
        <v>794</v>
      </c>
      <c r="H154" s="1">
        <f t="shared" si="2"/>
        <v>3</v>
      </c>
      <c r="I154">
        <v>41</v>
      </c>
      <c r="J154">
        <v>678</v>
      </c>
      <c r="K154">
        <v>20</v>
      </c>
      <c r="L154" t="s">
        <v>795</v>
      </c>
    </row>
    <row r="155" spans="1:12" x14ac:dyDescent="0.3">
      <c r="A155" t="s">
        <v>796</v>
      </c>
      <c r="B155" t="s">
        <v>797</v>
      </c>
      <c r="C155" t="s">
        <v>641</v>
      </c>
      <c r="D155" t="s">
        <v>310</v>
      </c>
      <c r="G155" t="s">
        <v>798</v>
      </c>
      <c r="H155" s="1">
        <f t="shared" si="2"/>
        <v>1</v>
      </c>
      <c r="I155">
        <v>99</v>
      </c>
      <c r="J155">
        <v>678</v>
      </c>
      <c r="K155">
        <v>164</v>
      </c>
      <c r="L155" t="s">
        <v>799</v>
      </c>
    </row>
    <row r="156" spans="1:12" x14ac:dyDescent="0.3">
      <c r="A156" t="s">
        <v>800</v>
      </c>
      <c r="B156" t="s">
        <v>801</v>
      </c>
      <c r="D156" t="s">
        <v>30</v>
      </c>
      <c r="H156" s="1">
        <f t="shared" si="2"/>
        <v>1</v>
      </c>
      <c r="I156">
        <v>23</v>
      </c>
      <c r="J156">
        <v>657</v>
      </c>
      <c r="K156">
        <v>168</v>
      </c>
      <c r="L156" t="s">
        <v>802</v>
      </c>
    </row>
    <row r="157" spans="1:12" x14ac:dyDescent="0.3">
      <c r="A157" t="s">
        <v>803</v>
      </c>
      <c r="B157" t="s">
        <v>804</v>
      </c>
      <c r="C157" t="s">
        <v>110</v>
      </c>
      <c r="D157" t="s">
        <v>30</v>
      </c>
      <c r="E157" t="s">
        <v>805</v>
      </c>
      <c r="G157" t="s">
        <v>806</v>
      </c>
      <c r="H157" s="1">
        <f t="shared" si="2"/>
        <v>1</v>
      </c>
      <c r="I157">
        <v>32</v>
      </c>
      <c r="J157">
        <v>654</v>
      </c>
      <c r="K157">
        <v>3</v>
      </c>
      <c r="L157" t="s">
        <v>807</v>
      </c>
    </row>
    <row r="158" spans="1:12" x14ac:dyDescent="0.3">
      <c r="A158" t="s">
        <v>808</v>
      </c>
      <c r="B158" t="s">
        <v>809</v>
      </c>
      <c r="C158" t="s">
        <v>810</v>
      </c>
      <c r="D158" t="s">
        <v>13</v>
      </c>
      <c r="H158" s="1">
        <f t="shared" si="2"/>
        <v>1</v>
      </c>
      <c r="I158">
        <v>37</v>
      </c>
      <c r="J158">
        <v>653</v>
      </c>
      <c r="K158">
        <v>0</v>
      </c>
      <c r="L158" t="s">
        <v>811</v>
      </c>
    </row>
    <row r="159" spans="1:12" x14ac:dyDescent="0.3">
      <c r="A159" t="s">
        <v>812</v>
      </c>
      <c r="B159" t="s">
        <v>813</v>
      </c>
      <c r="D159" t="s">
        <v>13</v>
      </c>
      <c r="H159" s="1">
        <f t="shared" si="2"/>
        <v>1</v>
      </c>
      <c r="I159">
        <v>471</v>
      </c>
      <c r="J159">
        <v>653</v>
      </c>
      <c r="K159">
        <v>4</v>
      </c>
      <c r="L159" t="s">
        <v>814</v>
      </c>
    </row>
    <row r="160" spans="1:12" x14ac:dyDescent="0.3">
      <c r="A160" t="s">
        <v>815</v>
      </c>
      <c r="B160" t="s">
        <v>816</v>
      </c>
      <c r="C160" t="s">
        <v>817</v>
      </c>
      <c r="D160" t="s">
        <v>13</v>
      </c>
      <c r="E160" t="s">
        <v>818</v>
      </c>
      <c r="F160" t="b">
        <v>1</v>
      </c>
      <c r="G160" t="s">
        <v>819</v>
      </c>
      <c r="H160" s="1">
        <f t="shared" si="2"/>
        <v>19</v>
      </c>
      <c r="I160">
        <v>96</v>
      </c>
      <c r="J160">
        <v>651</v>
      </c>
      <c r="K160">
        <v>47</v>
      </c>
      <c r="L160" t="s">
        <v>820</v>
      </c>
    </row>
    <row r="161" spans="1:12" x14ac:dyDescent="0.3">
      <c r="A161" t="s">
        <v>821</v>
      </c>
      <c r="D161" t="s">
        <v>30</v>
      </c>
      <c r="F161" t="b">
        <v>1</v>
      </c>
      <c r="G161" t="s">
        <v>822</v>
      </c>
      <c r="H161" s="1">
        <f t="shared" si="2"/>
        <v>3</v>
      </c>
      <c r="I161">
        <v>137</v>
      </c>
      <c r="J161">
        <v>650</v>
      </c>
      <c r="K161">
        <v>136</v>
      </c>
      <c r="L161" t="s">
        <v>823</v>
      </c>
    </row>
    <row r="162" spans="1:12" x14ac:dyDescent="0.3">
      <c r="A162" t="s">
        <v>824</v>
      </c>
      <c r="B162" t="s">
        <v>824</v>
      </c>
      <c r="D162" t="s">
        <v>13</v>
      </c>
      <c r="E162" t="s">
        <v>825</v>
      </c>
      <c r="H162" s="1">
        <f t="shared" si="2"/>
        <v>1</v>
      </c>
      <c r="I162">
        <v>151</v>
      </c>
      <c r="J162">
        <v>649</v>
      </c>
      <c r="K162">
        <v>33</v>
      </c>
      <c r="L162" t="s">
        <v>826</v>
      </c>
    </row>
    <row r="163" spans="1:12" x14ac:dyDescent="0.3">
      <c r="A163" t="s">
        <v>827</v>
      </c>
      <c r="B163" t="s">
        <v>828</v>
      </c>
      <c r="C163" t="s">
        <v>829</v>
      </c>
      <c r="D163" t="s">
        <v>30</v>
      </c>
      <c r="G163" t="s">
        <v>830</v>
      </c>
      <c r="H163" s="1">
        <f t="shared" si="2"/>
        <v>13</v>
      </c>
      <c r="I163">
        <v>92</v>
      </c>
      <c r="J163">
        <v>647</v>
      </c>
      <c r="K163">
        <v>21</v>
      </c>
      <c r="L163" t="s">
        <v>831</v>
      </c>
    </row>
    <row r="164" spans="1:12" x14ac:dyDescent="0.3">
      <c r="A164" t="s">
        <v>832</v>
      </c>
      <c r="B164" t="s">
        <v>833</v>
      </c>
      <c r="C164" t="s">
        <v>834</v>
      </c>
      <c r="D164" t="s">
        <v>30</v>
      </c>
      <c r="G164" t="s">
        <v>835</v>
      </c>
      <c r="H164" s="1">
        <f t="shared" si="2"/>
        <v>6</v>
      </c>
      <c r="I164">
        <v>2</v>
      </c>
      <c r="J164">
        <v>640</v>
      </c>
      <c r="K164">
        <v>5</v>
      </c>
      <c r="L164" t="s">
        <v>836</v>
      </c>
    </row>
    <row r="165" spans="1:12" x14ac:dyDescent="0.3">
      <c r="A165" t="s">
        <v>837</v>
      </c>
      <c r="B165" t="s">
        <v>838</v>
      </c>
      <c r="D165" t="s">
        <v>13</v>
      </c>
      <c r="G165" t="s">
        <v>839</v>
      </c>
      <c r="H165" s="1">
        <f t="shared" si="2"/>
        <v>3</v>
      </c>
      <c r="I165">
        <v>45</v>
      </c>
      <c r="J165">
        <v>636</v>
      </c>
      <c r="K165">
        <v>9</v>
      </c>
      <c r="L165" t="s">
        <v>840</v>
      </c>
    </row>
    <row r="166" spans="1:12" ht="273.60000000000002" x14ac:dyDescent="0.3">
      <c r="A166" t="s">
        <v>841</v>
      </c>
      <c r="B166" t="s">
        <v>842</v>
      </c>
      <c r="D166" t="s">
        <v>13</v>
      </c>
      <c r="F166" t="b">
        <v>1</v>
      </c>
      <c r="G166" s="1" t="s">
        <v>843</v>
      </c>
      <c r="H166" s="1">
        <f t="shared" si="2"/>
        <v>15</v>
      </c>
      <c r="I166">
        <v>151</v>
      </c>
      <c r="J166">
        <v>633</v>
      </c>
      <c r="K166">
        <v>14</v>
      </c>
      <c r="L166" t="s">
        <v>844</v>
      </c>
    </row>
    <row r="167" spans="1:12" x14ac:dyDescent="0.3">
      <c r="A167" t="s">
        <v>845</v>
      </c>
      <c r="B167" t="s">
        <v>845</v>
      </c>
      <c r="C167" t="s">
        <v>62</v>
      </c>
      <c r="D167" t="s">
        <v>30</v>
      </c>
      <c r="E167" t="s">
        <v>846</v>
      </c>
      <c r="G167" t="s">
        <v>847</v>
      </c>
      <c r="H167" s="1">
        <f t="shared" si="2"/>
        <v>2</v>
      </c>
      <c r="I167">
        <v>43</v>
      </c>
      <c r="J167">
        <v>632</v>
      </c>
      <c r="K167">
        <v>16</v>
      </c>
      <c r="L167" t="s">
        <v>848</v>
      </c>
    </row>
    <row r="168" spans="1:12" ht="72" x14ac:dyDescent="0.3">
      <c r="A168" t="s">
        <v>849</v>
      </c>
      <c r="B168" t="s">
        <v>850</v>
      </c>
      <c r="C168" t="s">
        <v>851</v>
      </c>
      <c r="D168" t="s">
        <v>13</v>
      </c>
      <c r="E168" t="s">
        <v>852</v>
      </c>
      <c r="F168" t="b">
        <v>1</v>
      </c>
      <c r="G168" s="1" t="s">
        <v>853</v>
      </c>
      <c r="H168" s="1">
        <f t="shared" si="2"/>
        <v>4</v>
      </c>
      <c r="I168">
        <v>452</v>
      </c>
      <c r="J168">
        <v>618</v>
      </c>
      <c r="K168">
        <v>198</v>
      </c>
      <c r="L168" t="s">
        <v>854</v>
      </c>
    </row>
    <row r="169" spans="1:12" x14ac:dyDescent="0.3">
      <c r="A169" t="s">
        <v>855</v>
      </c>
      <c r="B169" t="s">
        <v>856</v>
      </c>
      <c r="D169" t="s">
        <v>857</v>
      </c>
      <c r="E169" t="s">
        <v>858</v>
      </c>
      <c r="F169" t="b">
        <v>1</v>
      </c>
      <c r="G169" t="s">
        <v>859</v>
      </c>
      <c r="H169" s="1">
        <f t="shared" si="2"/>
        <v>7</v>
      </c>
      <c r="I169">
        <v>122</v>
      </c>
      <c r="J169">
        <v>609</v>
      </c>
      <c r="K169">
        <v>221</v>
      </c>
      <c r="L169" t="s">
        <v>860</v>
      </c>
    </row>
    <row r="170" spans="1:12" x14ac:dyDescent="0.3">
      <c r="A170" t="s">
        <v>861</v>
      </c>
      <c r="B170" t="s">
        <v>862</v>
      </c>
      <c r="D170" t="s">
        <v>30</v>
      </c>
      <c r="F170" t="b">
        <v>1</v>
      </c>
      <c r="H170" s="1">
        <f t="shared" si="2"/>
        <v>1</v>
      </c>
      <c r="I170">
        <v>74</v>
      </c>
      <c r="J170">
        <v>609</v>
      </c>
      <c r="K170">
        <v>1</v>
      </c>
      <c r="L170" t="s">
        <v>863</v>
      </c>
    </row>
    <row r="171" spans="1:12" x14ac:dyDescent="0.3">
      <c r="A171" t="s">
        <v>864</v>
      </c>
      <c r="B171" t="s">
        <v>865</v>
      </c>
      <c r="D171" t="s">
        <v>13</v>
      </c>
      <c r="E171" t="s">
        <v>866</v>
      </c>
      <c r="G171" t="s">
        <v>867</v>
      </c>
      <c r="H171" s="1">
        <f t="shared" si="2"/>
        <v>3</v>
      </c>
      <c r="I171">
        <v>38</v>
      </c>
      <c r="J171">
        <v>606</v>
      </c>
      <c r="K171">
        <v>236</v>
      </c>
      <c r="L171" t="s">
        <v>868</v>
      </c>
    </row>
    <row r="172" spans="1:12" x14ac:dyDescent="0.3">
      <c r="A172" t="s">
        <v>869</v>
      </c>
      <c r="B172" t="s">
        <v>870</v>
      </c>
      <c r="C172" t="s">
        <v>871</v>
      </c>
      <c r="D172" t="s">
        <v>30</v>
      </c>
      <c r="E172" t="s">
        <v>872</v>
      </c>
      <c r="F172" t="b">
        <v>1</v>
      </c>
      <c r="G172" t="s">
        <v>873</v>
      </c>
      <c r="H172" s="1">
        <f t="shared" si="2"/>
        <v>23</v>
      </c>
      <c r="I172">
        <v>51</v>
      </c>
      <c r="J172">
        <v>604</v>
      </c>
      <c r="K172">
        <v>18</v>
      </c>
      <c r="L172" t="s">
        <v>874</v>
      </c>
    </row>
    <row r="173" spans="1:12" x14ac:dyDescent="0.3">
      <c r="A173" t="s">
        <v>875</v>
      </c>
      <c r="B173" t="s">
        <v>876</v>
      </c>
      <c r="C173" t="s">
        <v>877</v>
      </c>
      <c r="D173" t="s">
        <v>13</v>
      </c>
      <c r="G173" t="s">
        <v>878</v>
      </c>
      <c r="H173" s="1">
        <f t="shared" si="2"/>
        <v>4</v>
      </c>
      <c r="I173">
        <v>60</v>
      </c>
      <c r="J173">
        <v>603</v>
      </c>
      <c r="K173">
        <v>2</v>
      </c>
      <c r="L173" t="s">
        <v>879</v>
      </c>
    </row>
    <row r="174" spans="1:12" x14ac:dyDescent="0.3">
      <c r="A174" t="s">
        <v>880</v>
      </c>
      <c r="B174" t="s">
        <v>881</v>
      </c>
      <c r="C174" t="s">
        <v>882</v>
      </c>
      <c r="D174" t="s">
        <v>13</v>
      </c>
      <c r="F174" t="b">
        <v>1</v>
      </c>
      <c r="H174" s="1">
        <f t="shared" si="2"/>
        <v>1</v>
      </c>
      <c r="I174">
        <v>78</v>
      </c>
      <c r="J174">
        <v>602</v>
      </c>
      <c r="K174">
        <v>29</v>
      </c>
      <c r="L174" t="s">
        <v>883</v>
      </c>
    </row>
    <row r="175" spans="1:12" x14ac:dyDescent="0.3">
      <c r="A175" t="s">
        <v>884</v>
      </c>
      <c r="B175" t="s">
        <v>885</v>
      </c>
      <c r="D175" t="s">
        <v>30</v>
      </c>
      <c r="F175" t="b">
        <v>1</v>
      </c>
      <c r="H175" s="1">
        <f t="shared" si="2"/>
        <v>1</v>
      </c>
      <c r="I175">
        <v>60</v>
      </c>
      <c r="J175">
        <v>602</v>
      </c>
      <c r="K175">
        <v>64</v>
      </c>
      <c r="L175" t="s">
        <v>886</v>
      </c>
    </row>
    <row r="176" spans="1:12" x14ac:dyDescent="0.3">
      <c r="A176" t="s">
        <v>887</v>
      </c>
      <c r="B176" t="s">
        <v>888</v>
      </c>
      <c r="C176" t="s">
        <v>889</v>
      </c>
      <c r="D176" t="s">
        <v>30</v>
      </c>
      <c r="E176" t="s">
        <v>890</v>
      </c>
      <c r="G176" t="s">
        <v>891</v>
      </c>
      <c r="H176" s="1">
        <f t="shared" si="2"/>
        <v>3</v>
      </c>
      <c r="I176">
        <v>62</v>
      </c>
      <c r="J176">
        <v>596</v>
      </c>
      <c r="K176">
        <v>37</v>
      </c>
      <c r="L176" t="s">
        <v>892</v>
      </c>
    </row>
    <row r="177" spans="1:12" x14ac:dyDescent="0.3">
      <c r="A177" t="s">
        <v>893</v>
      </c>
      <c r="B177" t="s">
        <v>894</v>
      </c>
      <c r="D177" t="s">
        <v>13</v>
      </c>
      <c r="E177" t="s">
        <v>895</v>
      </c>
      <c r="G177" t="s">
        <v>896</v>
      </c>
      <c r="H177" s="1">
        <f t="shared" si="2"/>
        <v>19</v>
      </c>
      <c r="I177">
        <v>245</v>
      </c>
      <c r="J177">
        <v>596</v>
      </c>
      <c r="K177">
        <v>0</v>
      </c>
      <c r="L177" t="s">
        <v>897</v>
      </c>
    </row>
    <row r="178" spans="1:12" x14ac:dyDescent="0.3">
      <c r="A178" t="s">
        <v>898</v>
      </c>
      <c r="B178" t="s">
        <v>899</v>
      </c>
      <c r="C178" t="s">
        <v>900</v>
      </c>
      <c r="D178" t="s">
        <v>13</v>
      </c>
      <c r="F178" t="b">
        <v>1</v>
      </c>
      <c r="H178" s="1">
        <f t="shared" si="2"/>
        <v>1</v>
      </c>
      <c r="I178">
        <v>166</v>
      </c>
      <c r="J178">
        <v>593</v>
      </c>
      <c r="K178">
        <v>68</v>
      </c>
      <c r="L178" t="s">
        <v>901</v>
      </c>
    </row>
    <row r="179" spans="1:12" x14ac:dyDescent="0.3">
      <c r="A179" t="s">
        <v>902</v>
      </c>
      <c r="B179" t="s">
        <v>903</v>
      </c>
      <c r="D179" t="s">
        <v>30</v>
      </c>
      <c r="E179" t="s">
        <v>904</v>
      </c>
      <c r="G179" t="s">
        <v>905</v>
      </c>
      <c r="H179" s="1">
        <f t="shared" si="2"/>
        <v>7</v>
      </c>
      <c r="I179">
        <v>5</v>
      </c>
      <c r="J179">
        <v>593</v>
      </c>
      <c r="K179">
        <v>0</v>
      </c>
      <c r="L179" t="s">
        <v>906</v>
      </c>
    </row>
    <row r="180" spans="1:12" x14ac:dyDescent="0.3">
      <c r="A180" t="s">
        <v>907</v>
      </c>
      <c r="B180" t="s">
        <v>908</v>
      </c>
      <c r="D180" t="s">
        <v>30</v>
      </c>
      <c r="H180" s="1">
        <f t="shared" si="2"/>
        <v>1</v>
      </c>
      <c r="I180">
        <v>94</v>
      </c>
      <c r="J180">
        <v>591</v>
      </c>
      <c r="K180">
        <v>14</v>
      </c>
      <c r="L180" t="s">
        <v>909</v>
      </c>
    </row>
    <row r="181" spans="1:12" x14ac:dyDescent="0.3">
      <c r="A181" t="s">
        <v>910</v>
      </c>
      <c r="B181" t="s">
        <v>911</v>
      </c>
      <c r="C181" t="s">
        <v>912</v>
      </c>
      <c r="D181" t="s">
        <v>13</v>
      </c>
      <c r="H181" s="1">
        <f t="shared" si="2"/>
        <v>1</v>
      </c>
      <c r="I181">
        <v>80</v>
      </c>
      <c r="J181">
        <v>591</v>
      </c>
      <c r="K181">
        <v>4</v>
      </c>
      <c r="L181" t="s">
        <v>913</v>
      </c>
    </row>
    <row r="182" spans="1:12" ht="115.2" x14ac:dyDescent="0.3">
      <c r="A182" t="s">
        <v>914</v>
      </c>
      <c r="B182" t="s">
        <v>915</v>
      </c>
      <c r="C182" t="s">
        <v>916</v>
      </c>
      <c r="D182" t="s">
        <v>30</v>
      </c>
      <c r="E182" t="s">
        <v>917</v>
      </c>
      <c r="G182" s="1" t="s">
        <v>918</v>
      </c>
      <c r="H182" s="1">
        <f t="shared" si="2"/>
        <v>6</v>
      </c>
      <c r="I182">
        <v>493</v>
      </c>
      <c r="J182">
        <v>584</v>
      </c>
      <c r="K182">
        <v>87</v>
      </c>
      <c r="L182" t="s">
        <v>919</v>
      </c>
    </row>
    <row r="183" spans="1:12" ht="316.8" x14ac:dyDescent="0.3">
      <c r="A183" t="s">
        <v>920</v>
      </c>
      <c r="B183" t="s">
        <v>921</v>
      </c>
      <c r="D183" t="s">
        <v>30</v>
      </c>
      <c r="F183" t="b">
        <v>1</v>
      </c>
      <c r="G183" s="1" t="s">
        <v>922</v>
      </c>
      <c r="H183" s="1">
        <f t="shared" si="2"/>
        <v>14</v>
      </c>
      <c r="I183">
        <v>169</v>
      </c>
      <c r="J183">
        <v>584</v>
      </c>
      <c r="K183">
        <v>552</v>
      </c>
      <c r="L183" t="s">
        <v>923</v>
      </c>
    </row>
    <row r="184" spans="1:12" x14ac:dyDescent="0.3">
      <c r="A184" t="s">
        <v>924</v>
      </c>
      <c r="B184" t="s">
        <v>925</v>
      </c>
      <c r="C184" t="s">
        <v>664</v>
      </c>
      <c r="D184" t="s">
        <v>926</v>
      </c>
      <c r="F184" t="b">
        <v>1</v>
      </c>
      <c r="G184" t="s">
        <v>927</v>
      </c>
      <c r="H184" s="1">
        <f t="shared" si="2"/>
        <v>9</v>
      </c>
      <c r="I184">
        <v>157</v>
      </c>
      <c r="J184">
        <v>582</v>
      </c>
      <c r="K184">
        <v>1037</v>
      </c>
      <c r="L184" t="s">
        <v>928</v>
      </c>
    </row>
    <row r="185" spans="1:12" x14ac:dyDescent="0.3">
      <c r="A185" t="s">
        <v>929</v>
      </c>
      <c r="B185" t="s">
        <v>930</v>
      </c>
      <c r="C185" t="s">
        <v>931</v>
      </c>
      <c r="D185" t="s">
        <v>13</v>
      </c>
      <c r="E185" t="s">
        <v>932</v>
      </c>
      <c r="F185" t="b">
        <v>1</v>
      </c>
      <c r="H185" s="1">
        <f t="shared" si="2"/>
        <v>1</v>
      </c>
      <c r="I185">
        <v>207</v>
      </c>
      <c r="J185">
        <v>582</v>
      </c>
      <c r="K185">
        <v>737</v>
      </c>
      <c r="L185" t="s">
        <v>933</v>
      </c>
    </row>
    <row r="186" spans="1:12" x14ac:dyDescent="0.3">
      <c r="A186" t="s">
        <v>934</v>
      </c>
      <c r="B186" t="s">
        <v>935</v>
      </c>
      <c r="C186" t="s">
        <v>936</v>
      </c>
      <c r="D186" t="s">
        <v>13</v>
      </c>
      <c r="G186" t="s">
        <v>937</v>
      </c>
      <c r="H186" s="1">
        <f t="shared" si="2"/>
        <v>3</v>
      </c>
      <c r="I186">
        <v>33</v>
      </c>
      <c r="J186">
        <v>580</v>
      </c>
      <c r="K186">
        <v>0</v>
      </c>
      <c r="L186" t="s">
        <v>938</v>
      </c>
    </row>
    <row r="187" spans="1:12" x14ac:dyDescent="0.3">
      <c r="A187" t="s">
        <v>939</v>
      </c>
      <c r="B187" t="s">
        <v>940</v>
      </c>
      <c r="D187" t="s">
        <v>13</v>
      </c>
      <c r="F187" t="b">
        <v>1</v>
      </c>
      <c r="G187" t="s">
        <v>941</v>
      </c>
      <c r="H187" s="1">
        <f t="shared" si="2"/>
        <v>3</v>
      </c>
      <c r="I187">
        <v>32</v>
      </c>
      <c r="J187">
        <v>579</v>
      </c>
      <c r="K187">
        <v>289</v>
      </c>
      <c r="L187" t="s">
        <v>942</v>
      </c>
    </row>
    <row r="188" spans="1:12" ht="187.2" x14ac:dyDescent="0.3">
      <c r="A188" t="s">
        <v>943</v>
      </c>
      <c r="B188" t="s">
        <v>944</v>
      </c>
      <c r="C188" t="s">
        <v>945</v>
      </c>
      <c r="D188" t="s">
        <v>13</v>
      </c>
      <c r="E188" t="s">
        <v>946</v>
      </c>
      <c r="F188" t="b">
        <v>1</v>
      </c>
      <c r="G188" s="1" t="s">
        <v>947</v>
      </c>
      <c r="H188" s="1">
        <f t="shared" si="2"/>
        <v>16</v>
      </c>
      <c r="I188">
        <v>109</v>
      </c>
      <c r="J188">
        <v>572</v>
      </c>
      <c r="K188">
        <v>987</v>
      </c>
      <c r="L188" t="s">
        <v>948</v>
      </c>
    </row>
    <row r="189" spans="1:12" x14ac:dyDescent="0.3">
      <c r="A189" t="s">
        <v>949</v>
      </c>
      <c r="B189" t="s">
        <v>950</v>
      </c>
      <c r="C189" t="s">
        <v>951</v>
      </c>
      <c r="D189" t="s">
        <v>30</v>
      </c>
      <c r="E189" t="s">
        <v>952</v>
      </c>
      <c r="G189" t="s">
        <v>953</v>
      </c>
      <c r="H189" s="1">
        <f t="shared" si="2"/>
        <v>6</v>
      </c>
      <c r="I189">
        <v>84</v>
      </c>
      <c r="J189">
        <v>572</v>
      </c>
      <c r="K189">
        <v>99</v>
      </c>
      <c r="L189" t="s">
        <v>954</v>
      </c>
    </row>
    <row r="190" spans="1:12" ht="57.6" x14ac:dyDescent="0.3">
      <c r="A190" t="s">
        <v>955</v>
      </c>
      <c r="B190" t="s">
        <v>956</v>
      </c>
      <c r="D190" t="s">
        <v>13</v>
      </c>
      <c r="F190" t="b">
        <v>1</v>
      </c>
      <c r="G190" s="1" t="s">
        <v>957</v>
      </c>
      <c r="H190" s="1">
        <f t="shared" si="2"/>
        <v>2</v>
      </c>
      <c r="I190">
        <v>124</v>
      </c>
      <c r="J190">
        <v>567</v>
      </c>
      <c r="K190">
        <v>1</v>
      </c>
      <c r="L190" t="s">
        <v>958</v>
      </c>
    </row>
    <row r="191" spans="1:12" x14ac:dyDescent="0.3">
      <c r="A191" t="s">
        <v>959</v>
      </c>
      <c r="B191" t="s">
        <v>960</v>
      </c>
      <c r="D191" t="s">
        <v>961</v>
      </c>
      <c r="G191" t="s">
        <v>962</v>
      </c>
      <c r="H191" s="1">
        <f t="shared" si="2"/>
        <v>5</v>
      </c>
      <c r="I191">
        <v>19</v>
      </c>
      <c r="J191">
        <v>562</v>
      </c>
      <c r="K191">
        <v>0</v>
      </c>
      <c r="L191" t="s">
        <v>963</v>
      </c>
    </row>
    <row r="192" spans="1:12" x14ac:dyDescent="0.3">
      <c r="A192" t="s">
        <v>964</v>
      </c>
      <c r="B192" t="s">
        <v>964</v>
      </c>
      <c r="C192" t="s">
        <v>965</v>
      </c>
      <c r="D192" t="s">
        <v>13</v>
      </c>
      <c r="E192" t="s">
        <v>966</v>
      </c>
      <c r="G192" t="s">
        <v>967</v>
      </c>
      <c r="H192" s="1">
        <f t="shared" si="2"/>
        <v>3</v>
      </c>
      <c r="I192">
        <v>105</v>
      </c>
      <c r="J192">
        <v>558</v>
      </c>
      <c r="K192">
        <v>134</v>
      </c>
      <c r="L192" t="s">
        <v>968</v>
      </c>
    </row>
    <row r="193" spans="1:12" x14ac:dyDescent="0.3">
      <c r="A193" t="s">
        <v>969</v>
      </c>
      <c r="B193" t="s">
        <v>970</v>
      </c>
      <c r="C193" t="s">
        <v>971</v>
      </c>
      <c r="D193" t="s">
        <v>13</v>
      </c>
      <c r="F193" t="b">
        <v>1</v>
      </c>
      <c r="G193" t="s">
        <v>972</v>
      </c>
      <c r="H193" s="1">
        <f t="shared" si="2"/>
        <v>18</v>
      </c>
      <c r="I193">
        <v>130</v>
      </c>
      <c r="J193">
        <v>556</v>
      </c>
      <c r="K193">
        <v>796</v>
      </c>
      <c r="L193" t="s">
        <v>973</v>
      </c>
    </row>
    <row r="194" spans="1:12" ht="57.6" x14ac:dyDescent="0.3">
      <c r="A194" t="s">
        <v>974</v>
      </c>
      <c r="B194" t="s">
        <v>975</v>
      </c>
      <c r="D194" t="s">
        <v>13</v>
      </c>
      <c r="E194" t="s">
        <v>976</v>
      </c>
      <c r="G194" s="1" t="s">
        <v>977</v>
      </c>
      <c r="H194" s="1">
        <f t="shared" si="2"/>
        <v>1</v>
      </c>
      <c r="I194">
        <v>84</v>
      </c>
      <c r="J194">
        <v>549</v>
      </c>
      <c r="K194">
        <v>12</v>
      </c>
      <c r="L194" t="s">
        <v>978</v>
      </c>
    </row>
    <row r="195" spans="1:12" ht="345.6" x14ac:dyDescent="0.3">
      <c r="A195" t="s">
        <v>979</v>
      </c>
      <c r="B195" t="s">
        <v>980</v>
      </c>
      <c r="C195" t="s">
        <v>981</v>
      </c>
      <c r="D195" t="s">
        <v>13</v>
      </c>
      <c r="G195" s="1" t="s">
        <v>982</v>
      </c>
      <c r="H195" s="1">
        <f t="shared" ref="H195:H258" si="3">LEN(TRIM(G195))-LEN(SUBSTITUTE(TRIM(G195)," ",""))+1</f>
        <v>20</v>
      </c>
      <c r="I195">
        <v>178</v>
      </c>
      <c r="J195">
        <v>548</v>
      </c>
      <c r="K195">
        <v>118</v>
      </c>
      <c r="L195" t="s">
        <v>983</v>
      </c>
    </row>
    <row r="196" spans="1:12" x14ac:dyDescent="0.3">
      <c r="A196" t="s">
        <v>984</v>
      </c>
      <c r="B196" t="s">
        <v>985</v>
      </c>
      <c r="C196" t="s">
        <v>986</v>
      </c>
      <c r="D196" t="s">
        <v>30</v>
      </c>
      <c r="F196" t="b">
        <v>1</v>
      </c>
      <c r="G196" t="s">
        <v>987</v>
      </c>
      <c r="H196" s="1">
        <f t="shared" si="3"/>
        <v>3</v>
      </c>
      <c r="I196">
        <v>56</v>
      </c>
      <c r="J196">
        <v>545</v>
      </c>
      <c r="K196">
        <v>140</v>
      </c>
      <c r="L196" t="s">
        <v>988</v>
      </c>
    </row>
    <row r="197" spans="1:12" x14ac:dyDescent="0.3">
      <c r="A197" t="s">
        <v>989</v>
      </c>
      <c r="B197" t="s">
        <v>990</v>
      </c>
      <c r="C197" t="s">
        <v>991</v>
      </c>
      <c r="D197" t="s">
        <v>30</v>
      </c>
      <c r="F197" t="b">
        <v>1</v>
      </c>
      <c r="G197" t="s">
        <v>992</v>
      </c>
      <c r="H197" s="1">
        <f t="shared" si="3"/>
        <v>13</v>
      </c>
      <c r="I197">
        <v>116</v>
      </c>
      <c r="J197">
        <v>545</v>
      </c>
      <c r="K197">
        <v>119</v>
      </c>
      <c r="L197" t="s">
        <v>993</v>
      </c>
    </row>
    <row r="198" spans="1:12" x14ac:dyDescent="0.3">
      <c r="A198" t="s">
        <v>994</v>
      </c>
      <c r="B198" t="s">
        <v>995</v>
      </c>
      <c r="C198" t="s">
        <v>996</v>
      </c>
      <c r="D198" t="s">
        <v>659</v>
      </c>
      <c r="E198" t="s">
        <v>997</v>
      </c>
      <c r="G198" t="s">
        <v>998</v>
      </c>
      <c r="H198" s="1">
        <f t="shared" si="3"/>
        <v>7</v>
      </c>
      <c r="I198">
        <v>121</v>
      </c>
      <c r="J198">
        <v>544</v>
      </c>
      <c r="K198">
        <v>35</v>
      </c>
      <c r="L198" t="s">
        <v>999</v>
      </c>
    </row>
    <row r="199" spans="1:12" x14ac:dyDescent="0.3">
      <c r="A199" t="s">
        <v>1000</v>
      </c>
      <c r="B199" t="s">
        <v>1001</v>
      </c>
      <c r="C199" t="s">
        <v>1002</v>
      </c>
      <c r="D199" t="s">
        <v>13</v>
      </c>
      <c r="E199" t="s">
        <v>1003</v>
      </c>
      <c r="F199" t="b">
        <v>1</v>
      </c>
      <c r="G199" t="s">
        <v>1004</v>
      </c>
      <c r="H199" s="1">
        <f t="shared" si="3"/>
        <v>9</v>
      </c>
      <c r="I199">
        <v>39</v>
      </c>
      <c r="J199">
        <v>544</v>
      </c>
      <c r="K199">
        <v>115</v>
      </c>
      <c r="L199" t="s">
        <v>1005</v>
      </c>
    </row>
    <row r="200" spans="1:12" x14ac:dyDescent="0.3">
      <c r="A200" t="s">
        <v>1006</v>
      </c>
      <c r="B200" t="s">
        <v>1007</v>
      </c>
      <c r="D200" t="s">
        <v>290</v>
      </c>
      <c r="H200" s="1">
        <f t="shared" si="3"/>
        <v>1</v>
      </c>
      <c r="I200">
        <v>48</v>
      </c>
      <c r="J200">
        <v>543</v>
      </c>
      <c r="K200">
        <v>57</v>
      </c>
      <c r="L200" t="s">
        <v>1008</v>
      </c>
    </row>
    <row r="201" spans="1:12" x14ac:dyDescent="0.3">
      <c r="A201" t="s">
        <v>1009</v>
      </c>
      <c r="B201" t="s">
        <v>1010</v>
      </c>
      <c r="D201" t="s">
        <v>13</v>
      </c>
      <c r="G201" t="s">
        <v>648</v>
      </c>
      <c r="H201" s="1">
        <f t="shared" si="3"/>
        <v>2</v>
      </c>
      <c r="I201">
        <v>293</v>
      </c>
      <c r="J201">
        <v>543</v>
      </c>
      <c r="K201">
        <v>225</v>
      </c>
      <c r="L201" t="s">
        <v>1011</v>
      </c>
    </row>
    <row r="202" spans="1:12" ht="230.4" x14ac:dyDescent="0.3">
      <c r="A202" t="s">
        <v>1012</v>
      </c>
      <c r="B202" t="s">
        <v>1013</v>
      </c>
      <c r="C202" t="s">
        <v>1014</v>
      </c>
      <c r="D202" t="s">
        <v>1015</v>
      </c>
      <c r="E202" t="s">
        <v>1016</v>
      </c>
      <c r="G202" s="1" t="s">
        <v>1017</v>
      </c>
      <c r="H202" s="1">
        <f t="shared" si="3"/>
        <v>9</v>
      </c>
      <c r="I202">
        <v>348</v>
      </c>
      <c r="J202">
        <v>541</v>
      </c>
      <c r="K202">
        <v>1317</v>
      </c>
      <c r="L202" t="s">
        <v>1018</v>
      </c>
    </row>
    <row r="203" spans="1:12" x14ac:dyDescent="0.3">
      <c r="A203" t="s">
        <v>1019</v>
      </c>
      <c r="B203" t="s">
        <v>1019</v>
      </c>
      <c r="D203" t="s">
        <v>30</v>
      </c>
      <c r="H203" s="1">
        <f t="shared" si="3"/>
        <v>1</v>
      </c>
      <c r="I203">
        <v>194</v>
      </c>
      <c r="J203">
        <v>541</v>
      </c>
      <c r="K203">
        <v>0</v>
      </c>
      <c r="L203" t="s">
        <v>1020</v>
      </c>
    </row>
    <row r="204" spans="1:12" x14ac:dyDescent="0.3">
      <c r="A204" t="s">
        <v>1021</v>
      </c>
      <c r="B204" t="s">
        <v>1022</v>
      </c>
      <c r="C204" t="s">
        <v>1023</v>
      </c>
      <c r="D204" t="s">
        <v>30</v>
      </c>
      <c r="E204" t="s">
        <v>1024</v>
      </c>
      <c r="G204" t="s">
        <v>1025</v>
      </c>
      <c r="H204" s="1">
        <f t="shared" si="3"/>
        <v>5</v>
      </c>
      <c r="I204">
        <v>69</v>
      </c>
      <c r="J204">
        <v>537</v>
      </c>
      <c r="K204">
        <v>277</v>
      </c>
      <c r="L204" t="s">
        <v>1026</v>
      </c>
    </row>
    <row r="205" spans="1:12" x14ac:dyDescent="0.3">
      <c r="A205" t="s">
        <v>1027</v>
      </c>
      <c r="B205" t="s">
        <v>1028</v>
      </c>
      <c r="C205" t="s">
        <v>1029</v>
      </c>
      <c r="D205" t="s">
        <v>13</v>
      </c>
      <c r="E205" t="s">
        <v>1030</v>
      </c>
      <c r="F205" t="b">
        <v>1</v>
      </c>
      <c r="G205" t="s">
        <v>1031</v>
      </c>
      <c r="H205" s="1">
        <f t="shared" si="3"/>
        <v>12</v>
      </c>
      <c r="I205">
        <v>73</v>
      </c>
      <c r="J205">
        <v>535</v>
      </c>
      <c r="K205">
        <v>103</v>
      </c>
      <c r="L205" t="s">
        <v>1032</v>
      </c>
    </row>
    <row r="206" spans="1:12" x14ac:dyDescent="0.3">
      <c r="A206" t="s">
        <v>1033</v>
      </c>
      <c r="B206" t="s">
        <v>1034</v>
      </c>
      <c r="C206" t="s">
        <v>1035</v>
      </c>
      <c r="D206" t="s">
        <v>13</v>
      </c>
      <c r="E206" t="s">
        <v>1036</v>
      </c>
      <c r="H206" s="1">
        <f t="shared" si="3"/>
        <v>1</v>
      </c>
      <c r="I206">
        <v>16</v>
      </c>
      <c r="J206">
        <v>531</v>
      </c>
      <c r="K206">
        <v>4</v>
      </c>
      <c r="L206" t="s">
        <v>1037</v>
      </c>
    </row>
    <row r="207" spans="1:12" x14ac:dyDescent="0.3">
      <c r="A207" t="s">
        <v>1038</v>
      </c>
      <c r="B207" t="s">
        <v>1039</v>
      </c>
      <c r="C207" t="s">
        <v>1040</v>
      </c>
      <c r="D207" t="s">
        <v>30</v>
      </c>
      <c r="F207" t="b">
        <v>1</v>
      </c>
      <c r="G207" t="s">
        <v>1041</v>
      </c>
      <c r="H207" s="1">
        <f t="shared" si="3"/>
        <v>2</v>
      </c>
      <c r="I207">
        <v>174</v>
      </c>
      <c r="J207">
        <v>529</v>
      </c>
      <c r="K207">
        <v>268</v>
      </c>
      <c r="L207" t="s">
        <v>1042</v>
      </c>
    </row>
    <row r="208" spans="1:12" x14ac:dyDescent="0.3">
      <c r="A208" t="s">
        <v>1043</v>
      </c>
      <c r="B208" t="s">
        <v>1044</v>
      </c>
      <c r="C208" t="s">
        <v>1045</v>
      </c>
      <c r="D208" t="s">
        <v>30</v>
      </c>
      <c r="E208" t="s">
        <v>1046</v>
      </c>
      <c r="F208" t="b">
        <v>1</v>
      </c>
      <c r="G208" t="s">
        <v>1047</v>
      </c>
      <c r="H208" s="1">
        <f t="shared" si="3"/>
        <v>15</v>
      </c>
      <c r="I208">
        <v>77</v>
      </c>
      <c r="J208">
        <v>526</v>
      </c>
      <c r="K208">
        <v>278</v>
      </c>
      <c r="L208" t="s">
        <v>1048</v>
      </c>
    </row>
    <row r="209" spans="1:12" x14ac:dyDescent="0.3">
      <c r="A209" t="s">
        <v>1049</v>
      </c>
      <c r="B209" t="s">
        <v>1050</v>
      </c>
      <c r="C209" t="s">
        <v>1051</v>
      </c>
      <c r="D209" t="s">
        <v>13</v>
      </c>
      <c r="G209" t="s">
        <v>1052</v>
      </c>
      <c r="H209" s="1">
        <f t="shared" si="3"/>
        <v>4</v>
      </c>
      <c r="I209">
        <v>181</v>
      </c>
      <c r="J209">
        <v>523</v>
      </c>
      <c r="K209">
        <v>27</v>
      </c>
      <c r="L209" t="s">
        <v>1053</v>
      </c>
    </row>
    <row r="210" spans="1:12" x14ac:dyDescent="0.3">
      <c r="A210" t="s">
        <v>1054</v>
      </c>
      <c r="B210" t="s">
        <v>1055</v>
      </c>
      <c r="C210" t="s">
        <v>1056</v>
      </c>
      <c r="D210" t="s">
        <v>30</v>
      </c>
      <c r="E210" t="s">
        <v>1057</v>
      </c>
      <c r="G210" t="s">
        <v>1058</v>
      </c>
      <c r="H210" s="1">
        <f t="shared" si="3"/>
        <v>14</v>
      </c>
      <c r="I210">
        <v>21</v>
      </c>
      <c r="J210">
        <v>521</v>
      </c>
      <c r="K210">
        <v>21</v>
      </c>
      <c r="L210" t="s">
        <v>1059</v>
      </c>
    </row>
    <row r="211" spans="1:12" x14ac:dyDescent="0.3">
      <c r="A211" t="s">
        <v>1060</v>
      </c>
      <c r="B211" t="s">
        <v>1061</v>
      </c>
      <c r="D211" t="s">
        <v>13</v>
      </c>
      <c r="G211" t="s">
        <v>1062</v>
      </c>
      <c r="H211" s="1">
        <f t="shared" si="3"/>
        <v>18</v>
      </c>
      <c r="I211">
        <v>51</v>
      </c>
      <c r="J211">
        <v>520</v>
      </c>
      <c r="K211">
        <v>3</v>
      </c>
      <c r="L211" t="s">
        <v>1063</v>
      </c>
    </row>
    <row r="212" spans="1:12" x14ac:dyDescent="0.3">
      <c r="A212" t="s">
        <v>1064</v>
      </c>
      <c r="B212" t="s">
        <v>1065</v>
      </c>
      <c r="C212" t="s">
        <v>1066</v>
      </c>
      <c r="D212" t="s">
        <v>13</v>
      </c>
      <c r="E212" t="s">
        <v>1067</v>
      </c>
      <c r="F212" t="b">
        <v>1</v>
      </c>
      <c r="G212" t="s">
        <v>1068</v>
      </c>
      <c r="H212" s="1">
        <f t="shared" si="3"/>
        <v>17</v>
      </c>
      <c r="I212">
        <v>131</v>
      </c>
      <c r="J212">
        <v>517</v>
      </c>
      <c r="K212">
        <v>128</v>
      </c>
      <c r="L212" t="s">
        <v>1069</v>
      </c>
    </row>
    <row r="213" spans="1:12" ht="201.6" x14ac:dyDescent="0.3">
      <c r="A213" t="s">
        <v>1070</v>
      </c>
      <c r="B213" t="s">
        <v>1071</v>
      </c>
      <c r="C213" t="s">
        <v>1072</v>
      </c>
      <c r="D213" t="s">
        <v>30</v>
      </c>
      <c r="E213" t="s">
        <v>1073</v>
      </c>
      <c r="F213" t="b">
        <v>1</v>
      </c>
      <c r="G213" s="1" t="s">
        <v>1074</v>
      </c>
      <c r="H213" s="1">
        <f t="shared" si="3"/>
        <v>8</v>
      </c>
      <c r="I213">
        <v>78</v>
      </c>
      <c r="J213">
        <v>516</v>
      </c>
      <c r="K213">
        <v>19</v>
      </c>
      <c r="L213" t="s">
        <v>1075</v>
      </c>
    </row>
    <row r="214" spans="1:12" x14ac:dyDescent="0.3">
      <c r="A214" t="s">
        <v>1076</v>
      </c>
      <c r="B214" t="s">
        <v>1076</v>
      </c>
      <c r="C214" t="s">
        <v>1077</v>
      </c>
      <c r="D214" t="s">
        <v>1078</v>
      </c>
      <c r="F214" t="b">
        <v>1</v>
      </c>
      <c r="G214" t="s">
        <v>1079</v>
      </c>
      <c r="H214" s="1">
        <f t="shared" si="3"/>
        <v>10</v>
      </c>
      <c r="I214">
        <v>172</v>
      </c>
      <c r="J214">
        <v>515</v>
      </c>
      <c r="K214">
        <v>12</v>
      </c>
      <c r="L214" t="s">
        <v>1080</v>
      </c>
    </row>
    <row r="215" spans="1:12" x14ac:dyDescent="0.3">
      <c r="A215" t="s">
        <v>1081</v>
      </c>
      <c r="B215" t="s">
        <v>1081</v>
      </c>
      <c r="D215" t="s">
        <v>30</v>
      </c>
      <c r="E215" t="s">
        <v>1082</v>
      </c>
      <c r="G215" t="s">
        <v>1083</v>
      </c>
      <c r="H215" s="1">
        <f t="shared" si="3"/>
        <v>17</v>
      </c>
      <c r="I215">
        <v>20</v>
      </c>
      <c r="J215">
        <v>513</v>
      </c>
      <c r="K215">
        <v>0</v>
      </c>
      <c r="L215" t="s">
        <v>1084</v>
      </c>
    </row>
    <row r="216" spans="1:12" x14ac:dyDescent="0.3">
      <c r="A216" t="s">
        <v>1085</v>
      </c>
      <c r="B216" t="s">
        <v>1086</v>
      </c>
      <c r="D216" t="s">
        <v>1087</v>
      </c>
      <c r="E216" t="s">
        <v>1088</v>
      </c>
      <c r="F216" t="b">
        <v>1</v>
      </c>
      <c r="H216" s="1">
        <f t="shared" si="3"/>
        <v>1</v>
      </c>
      <c r="I216">
        <v>79</v>
      </c>
      <c r="J216">
        <v>507</v>
      </c>
      <c r="K216">
        <v>211</v>
      </c>
      <c r="L216" t="s">
        <v>1089</v>
      </c>
    </row>
    <row r="217" spans="1:12" x14ac:dyDescent="0.3">
      <c r="A217" t="s">
        <v>1090</v>
      </c>
      <c r="B217" t="s">
        <v>1091</v>
      </c>
      <c r="D217" t="s">
        <v>30</v>
      </c>
      <c r="E217" t="s">
        <v>1092</v>
      </c>
      <c r="H217" s="1">
        <f t="shared" si="3"/>
        <v>1</v>
      </c>
      <c r="I217">
        <v>132</v>
      </c>
      <c r="J217">
        <v>506</v>
      </c>
      <c r="K217">
        <v>0</v>
      </c>
      <c r="L217" t="s">
        <v>1093</v>
      </c>
    </row>
    <row r="218" spans="1:12" x14ac:dyDescent="0.3">
      <c r="A218" t="s">
        <v>1094</v>
      </c>
      <c r="B218" t="s">
        <v>1095</v>
      </c>
      <c r="D218" t="s">
        <v>30</v>
      </c>
      <c r="E218" t="s">
        <v>1096</v>
      </c>
      <c r="H218" s="1">
        <f t="shared" si="3"/>
        <v>1</v>
      </c>
      <c r="I218">
        <v>62</v>
      </c>
      <c r="J218">
        <v>506</v>
      </c>
      <c r="K218">
        <v>28</v>
      </c>
      <c r="L218" t="s">
        <v>1097</v>
      </c>
    </row>
    <row r="219" spans="1:12" x14ac:dyDescent="0.3">
      <c r="A219" t="s">
        <v>1098</v>
      </c>
      <c r="B219" t="s">
        <v>1099</v>
      </c>
      <c r="C219" t="s">
        <v>1100</v>
      </c>
      <c r="D219" t="s">
        <v>13</v>
      </c>
      <c r="E219" t="s">
        <v>1101</v>
      </c>
      <c r="F219" t="b">
        <v>1</v>
      </c>
      <c r="G219" t="s">
        <v>1102</v>
      </c>
      <c r="H219" s="1">
        <f t="shared" si="3"/>
        <v>6</v>
      </c>
      <c r="I219">
        <v>32</v>
      </c>
      <c r="J219">
        <v>500</v>
      </c>
      <c r="K219">
        <v>12</v>
      </c>
      <c r="L219" t="s">
        <v>1103</v>
      </c>
    </row>
    <row r="220" spans="1:12" x14ac:dyDescent="0.3">
      <c r="A220" t="s">
        <v>1104</v>
      </c>
      <c r="B220" t="s">
        <v>1105</v>
      </c>
      <c r="C220" t="s">
        <v>279</v>
      </c>
      <c r="D220" t="s">
        <v>30</v>
      </c>
      <c r="F220" t="b">
        <v>1</v>
      </c>
      <c r="G220" t="s">
        <v>1106</v>
      </c>
      <c r="H220" s="1">
        <f t="shared" si="3"/>
        <v>3</v>
      </c>
      <c r="I220">
        <v>151</v>
      </c>
      <c r="J220">
        <v>500</v>
      </c>
      <c r="K220">
        <v>252</v>
      </c>
      <c r="L220" t="s">
        <v>1107</v>
      </c>
    </row>
    <row r="221" spans="1:12" ht="230.4" x14ac:dyDescent="0.3">
      <c r="A221" t="s">
        <v>1108</v>
      </c>
      <c r="B221" t="s">
        <v>1109</v>
      </c>
      <c r="C221" t="s">
        <v>1110</v>
      </c>
      <c r="D221" t="s">
        <v>1111</v>
      </c>
      <c r="E221" t="s">
        <v>1112</v>
      </c>
      <c r="F221" t="b">
        <v>1</v>
      </c>
      <c r="G221" s="1" t="s">
        <v>1113</v>
      </c>
      <c r="H221" s="1">
        <f t="shared" si="3"/>
        <v>17</v>
      </c>
      <c r="I221">
        <v>51</v>
      </c>
      <c r="J221">
        <v>499</v>
      </c>
      <c r="K221">
        <v>280</v>
      </c>
      <c r="L221" t="s">
        <v>1114</v>
      </c>
    </row>
    <row r="222" spans="1:12" x14ac:dyDescent="0.3">
      <c r="A222" t="s">
        <v>1115</v>
      </c>
      <c r="B222" t="s">
        <v>1116</v>
      </c>
      <c r="D222" t="s">
        <v>30</v>
      </c>
      <c r="H222" s="1">
        <f t="shared" si="3"/>
        <v>1</v>
      </c>
      <c r="I222">
        <v>125</v>
      </c>
      <c r="J222">
        <v>498</v>
      </c>
      <c r="K222">
        <v>8</v>
      </c>
      <c r="L222" t="s">
        <v>1117</v>
      </c>
    </row>
    <row r="223" spans="1:12" ht="244.8" x14ac:dyDescent="0.3">
      <c r="A223" t="s">
        <v>1118</v>
      </c>
      <c r="B223" t="s">
        <v>1119</v>
      </c>
      <c r="C223" t="s">
        <v>1120</v>
      </c>
      <c r="D223" t="s">
        <v>13</v>
      </c>
      <c r="E223" t="s">
        <v>1121</v>
      </c>
      <c r="F223" t="b">
        <v>1</v>
      </c>
      <c r="G223" s="1" t="s">
        <v>1122</v>
      </c>
      <c r="H223" s="1">
        <f t="shared" si="3"/>
        <v>13</v>
      </c>
      <c r="I223">
        <v>595</v>
      </c>
      <c r="J223">
        <v>494</v>
      </c>
      <c r="K223">
        <v>99</v>
      </c>
      <c r="L223" t="s">
        <v>1123</v>
      </c>
    </row>
    <row r="224" spans="1:12" x14ac:dyDescent="0.3">
      <c r="A224" t="s">
        <v>1124</v>
      </c>
      <c r="B224" t="s">
        <v>1125</v>
      </c>
      <c r="C224" t="s">
        <v>1126</v>
      </c>
      <c r="D224" t="s">
        <v>30</v>
      </c>
      <c r="G224" t="s">
        <v>1127</v>
      </c>
      <c r="H224" s="1">
        <f t="shared" si="3"/>
        <v>5</v>
      </c>
      <c r="I224">
        <v>30</v>
      </c>
      <c r="J224">
        <v>494</v>
      </c>
      <c r="K224">
        <v>539</v>
      </c>
      <c r="L224" t="s">
        <v>1128</v>
      </c>
    </row>
    <row r="225" spans="1:12" x14ac:dyDescent="0.3">
      <c r="A225" t="s">
        <v>1129</v>
      </c>
      <c r="B225" t="s">
        <v>1130</v>
      </c>
      <c r="C225" t="s">
        <v>1131</v>
      </c>
      <c r="D225" t="s">
        <v>30</v>
      </c>
      <c r="G225" t="s">
        <v>1132</v>
      </c>
      <c r="H225" s="1">
        <f t="shared" si="3"/>
        <v>4</v>
      </c>
      <c r="I225">
        <v>84</v>
      </c>
      <c r="J225">
        <v>493</v>
      </c>
      <c r="K225">
        <v>69</v>
      </c>
      <c r="L225" t="s">
        <v>1133</v>
      </c>
    </row>
    <row r="226" spans="1:12" ht="201.6" x14ac:dyDescent="0.3">
      <c r="A226" t="s">
        <v>1134</v>
      </c>
      <c r="B226" t="s">
        <v>1135</v>
      </c>
      <c r="C226" t="s">
        <v>552</v>
      </c>
      <c r="D226" t="s">
        <v>30</v>
      </c>
      <c r="E226" t="s">
        <v>1136</v>
      </c>
      <c r="G226" s="1" t="s">
        <v>1137</v>
      </c>
      <c r="H226" s="1">
        <f t="shared" si="3"/>
        <v>11</v>
      </c>
      <c r="I226">
        <v>102</v>
      </c>
      <c r="J226">
        <v>489</v>
      </c>
      <c r="K226">
        <v>144</v>
      </c>
      <c r="L226" t="s">
        <v>1138</v>
      </c>
    </row>
    <row r="227" spans="1:12" x14ac:dyDescent="0.3">
      <c r="A227" t="s">
        <v>1139</v>
      </c>
      <c r="B227" t="s">
        <v>1140</v>
      </c>
      <c r="D227" t="s">
        <v>13</v>
      </c>
      <c r="E227" t="s">
        <v>1141</v>
      </c>
      <c r="G227" t="s">
        <v>648</v>
      </c>
      <c r="H227" s="1">
        <f t="shared" si="3"/>
        <v>2</v>
      </c>
      <c r="I227">
        <v>65</v>
      </c>
      <c r="J227">
        <v>488</v>
      </c>
      <c r="K227">
        <v>23</v>
      </c>
      <c r="L227" t="s">
        <v>1142</v>
      </c>
    </row>
    <row r="228" spans="1:12" x14ac:dyDescent="0.3">
      <c r="A228" t="s">
        <v>1143</v>
      </c>
      <c r="B228" t="s">
        <v>1144</v>
      </c>
      <c r="D228" t="s">
        <v>13</v>
      </c>
      <c r="H228" s="1">
        <f t="shared" si="3"/>
        <v>1</v>
      </c>
      <c r="I228">
        <v>161</v>
      </c>
      <c r="J228">
        <v>488</v>
      </c>
      <c r="K228">
        <v>69</v>
      </c>
      <c r="L228" t="s">
        <v>1145</v>
      </c>
    </row>
    <row r="229" spans="1:12" x14ac:dyDescent="0.3">
      <c r="A229" t="s">
        <v>1146</v>
      </c>
      <c r="B229" t="s">
        <v>1147</v>
      </c>
      <c r="D229" t="s">
        <v>13</v>
      </c>
      <c r="H229" s="1">
        <f t="shared" si="3"/>
        <v>1</v>
      </c>
      <c r="I229">
        <v>62</v>
      </c>
      <c r="J229">
        <v>487</v>
      </c>
      <c r="K229">
        <v>11</v>
      </c>
      <c r="L229" t="s">
        <v>1148</v>
      </c>
    </row>
    <row r="230" spans="1:12" x14ac:dyDescent="0.3">
      <c r="A230" t="s">
        <v>1149</v>
      </c>
      <c r="B230" t="s">
        <v>1150</v>
      </c>
      <c r="C230" t="s">
        <v>1151</v>
      </c>
      <c r="D230" t="s">
        <v>30</v>
      </c>
      <c r="E230" t="s">
        <v>1152</v>
      </c>
      <c r="G230" t="s">
        <v>1153</v>
      </c>
      <c r="H230" s="1">
        <f t="shared" si="3"/>
        <v>17</v>
      </c>
      <c r="I230">
        <v>216</v>
      </c>
      <c r="J230">
        <v>483</v>
      </c>
      <c r="K230">
        <v>107</v>
      </c>
      <c r="L230" t="s">
        <v>1154</v>
      </c>
    </row>
    <row r="231" spans="1:12" x14ac:dyDescent="0.3">
      <c r="A231" t="s">
        <v>1155</v>
      </c>
      <c r="B231" t="s">
        <v>1156</v>
      </c>
      <c r="D231" t="s">
        <v>13</v>
      </c>
      <c r="E231" t="s">
        <v>1157</v>
      </c>
      <c r="G231" t="s">
        <v>1158</v>
      </c>
      <c r="H231" s="1">
        <f t="shared" si="3"/>
        <v>11</v>
      </c>
      <c r="I231">
        <v>135</v>
      </c>
      <c r="J231">
        <v>483</v>
      </c>
      <c r="K231">
        <v>0</v>
      </c>
      <c r="L231" t="s">
        <v>1159</v>
      </c>
    </row>
    <row r="232" spans="1:12" x14ac:dyDescent="0.3">
      <c r="A232" t="s">
        <v>1160</v>
      </c>
      <c r="B232" t="s">
        <v>1161</v>
      </c>
      <c r="C232" t="s">
        <v>1162</v>
      </c>
      <c r="D232" t="s">
        <v>30</v>
      </c>
      <c r="E232" t="s">
        <v>1163</v>
      </c>
      <c r="F232" t="b">
        <v>1</v>
      </c>
      <c r="H232" s="1">
        <f t="shared" si="3"/>
        <v>1</v>
      </c>
      <c r="I232">
        <v>167</v>
      </c>
      <c r="J232">
        <v>481</v>
      </c>
      <c r="K232">
        <v>604</v>
      </c>
      <c r="L232" t="s">
        <v>1164</v>
      </c>
    </row>
    <row r="233" spans="1:12" x14ac:dyDescent="0.3">
      <c r="A233" t="s">
        <v>1165</v>
      </c>
      <c r="B233" t="s">
        <v>1166</v>
      </c>
      <c r="C233" t="s">
        <v>1167</v>
      </c>
      <c r="D233" t="s">
        <v>30</v>
      </c>
      <c r="E233" t="s">
        <v>1168</v>
      </c>
      <c r="G233" t="s">
        <v>1169</v>
      </c>
      <c r="H233" s="1">
        <f t="shared" si="3"/>
        <v>4</v>
      </c>
      <c r="I233">
        <v>33</v>
      </c>
      <c r="J233">
        <v>479</v>
      </c>
      <c r="K233">
        <v>276</v>
      </c>
      <c r="L233" t="s">
        <v>1170</v>
      </c>
    </row>
    <row r="234" spans="1:12" x14ac:dyDescent="0.3">
      <c r="A234" t="s">
        <v>1171</v>
      </c>
      <c r="B234" t="s">
        <v>1172</v>
      </c>
      <c r="D234" t="s">
        <v>30</v>
      </c>
      <c r="E234" t="s">
        <v>1173</v>
      </c>
      <c r="G234" t="s">
        <v>1174</v>
      </c>
      <c r="H234" s="1">
        <f t="shared" si="3"/>
        <v>2</v>
      </c>
      <c r="I234">
        <v>32</v>
      </c>
      <c r="J234">
        <v>476</v>
      </c>
      <c r="K234">
        <v>4</v>
      </c>
      <c r="L234" t="s">
        <v>1175</v>
      </c>
    </row>
    <row r="235" spans="1:12" x14ac:dyDescent="0.3">
      <c r="A235" t="s">
        <v>1176</v>
      </c>
      <c r="B235" t="s">
        <v>1177</v>
      </c>
      <c r="C235" t="s">
        <v>1178</v>
      </c>
      <c r="D235" t="s">
        <v>30</v>
      </c>
      <c r="E235" t="s">
        <v>1179</v>
      </c>
      <c r="F235" t="b">
        <v>1</v>
      </c>
      <c r="H235" s="1">
        <f t="shared" si="3"/>
        <v>1</v>
      </c>
      <c r="I235">
        <v>148</v>
      </c>
      <c r="J235">
        <v>476</v>
      </c>
      <c r="K235">
        <v>284</v>
      </c>
      <c r="L235" t="s">
        <v>1180</v>
      </c>
    </row>
    <row r="236" spans="1:12" x14ac:dyDescent="0.3">
      <c r="A236" t="s">
        <v>1181</v>
      </c>
      <c r="B236" t="s">
        <v>1182</v>
      </c>
      <c r="D236" t="s">
        <v>13</v>
      </c>
      <c r="H236" s="1">
        <f t="shared" si="3"/>
        <v>1</v>
      </c>
      <c r="I236">
        <v>61</v>
      </c>
      <c r="J236">
        <v>473</v>
      </c>
      <c r="K236">
        <v>4</v>
      </c>
      <c r="L236" t="s">
        <v>1183</v>
      </c>
    </row>
    <row r="237" spans="1:12" ht="302.39999999999998" x14ac:dyDescent="0.3">
      <c r="A237" t="s">
        <v>1184</v>
      </c>
      <c r="B237" t="s">
        <v>1185</v>
      </c>
      <c r="D237" t="s">
        <v>13</v>
      </c>
      <c r="F237" t="b">
        <v>1</v>
      </c>
      <c r="G237" s="1" t="s">
        <v>1186</v>
      </c>
      <c r="H237" s="1">
        <f t="shared" si="3"/>
        <v>22</v>
      </c>
      <c r="I237">
        <v>66</v>
      </c>
      <c r="J237">
        <v>469</v>
      </c>
      <c r="K237">
        <v>197</v>
      </c>
      <c r="L237" t="s">
        <v>1187</v>
      </c>
    </row>
    <row r="238" spans="1:12" x14ac:dyDescent="0.3">
      <c r="A238" t="s">
        <v>1188</v>
      </c>
      <c r="B238" t="s">
        <v>1189</v>
      </c>
      <c r="C238" t="s">
        <v>1190</v>
      </c>
      <c r="D238" t="s">
        <v>1191</v>
      </c>
      <c r="E238" t="s">
        <v>1192</v>
      </c>
      <c r="H238" s="1">
        <f t="shared" si="3"/>
        <v>1</v>
      </c>
      <c r="I238">
        <v>54</v>
      </c>
      <c r="J238">
        <v>466</v>
      </c>
      <c r="K238">
        <v>0</v>
      </c>
      <c r="L238" t="s">
        <v>1193</v>
      </c>
    </row>
    <row r="239" spans="1:12" x14ac:dyDescent="0.3">
      <c r="A239" t="s">
        <v>1194</v>
      </c>
      <c r="B239" t="s">
        <v>1195</v>
      </c>
      <c r="D239" t="s">
        <v>13</v>
      </c>
      <c r="G239" t="s">
        <v>1196</v>
      </c>
      <c r="H239" s="1">
        <f t="shared" si="3"/>
        <v>25</v>
      </c>
      <c r="I239">
        <v>97</v>
      </c>
      <c r="J239">
        <v>466</v>
      </c>
      <c r="K239">
        <v>143</v>
      </c>
      <c r="L239" t="s">
        <v>1197</v>
      </c>
    </row>
    <row r="240" spans="1:12" x14ac:dyDescent="0.3">
      <c r="A240" t="s">
        <v>1198</v>
      </c>
      <c r="B240" t="s">
        <v>1199</v>
      </c>
      <c r="C240" t="s">
        <v>1200</v>
      </c>
      <c r="D240" t="s">
        <v>13</v>
      </c>
      <c r="G240" t="s">
        <v>1201</v>
      </c>
      <c r="H240" s="1">
        <f t="shared" si="3"/>
        <v>5</v>
      </c>
      <c r="I240">
        <v>80</v>
      </c>
      <c r="J240">
        <v>465</v>
      </c>
      <c r="K240">
        <v>26</v>
      </c>
      <c r="L240" t="s">
        <v>1202</v>
      </c>
    </row>
    <row r="241" spans="1:12" x14ac:dyDescent="0.3">
      <c r="A241" t="s">
        <v>1203</v>
      </c>
      <c r="B241" t="s">
        <v>1204</v>
      </c>
      <c r="D241" t="s">
        <v>13</v>
      </c>
      <c r="E241" t="s">
        <v>1205</v>
      </c>
      <c r="F241" t="b">
        <v>1</v>
      </c>
      <c r="G241" t="s">
        <v>1206</v>
      </c>
      <c r="H241" s="1">
        <f t="shared" si="3"/>
        <v>10</v>
      </c>
      <c r="I241">
        <v>75</v>
      </c>
      <c r="J241">
        <v>463</v>
      </c>
      <c r="K241">
        <v>96</v>
      </c>
      <c r="L241" t="s">
        <v>1207</v>
      </c>
    </row>
    <row r="242" spans="1:12" x14ac:dyDescent="0.3">
      <c r="A242" t="s">
        <v>1208</v>
      </c>
      <c r="B242" t="s">
        <v>1209</v>
      </c>
      <c r="D242" t="s">
        <v>30</v>
      </c>
      <c r="H242" s="1">
        <f t="shared" si="3"/>
        <v>1</v>
      </c>
      <c r="I242">
        <v>84</v>
      </c>
      <c r="J242">
        <v>463</v>
      </c>
      <c r="K242">
        <v>53</v>
      </c>
      <c r="L242" t="s">
        <v>1210</v>
      </c>
    </row>
    <row r="243" spans="1:12" ht="230.4" x14ac:dyDescent="0.3">
      <c r="A243" t="s">
        <v>1211</v>
      </c>
      <c r="B243" t="s">
        <v>1212</v>
      </c>
      <c r="D243" t="s">
        <v>13</v>
      </c>
      <c r="F243" t="b">
        <v>1</v>
      </c>
      <c r="G243" s="1" t="s">
        <v>1213</v>
      </c>
      <c r="H243" s="1">
        <f t="shared" si="3"/>
        <v>17</v>
      </c>
      <c r="I243">
        <v>135</v>
      </c>
      <c r="J243">
        <v>462</v>
      </c>
      <c r="K243">
        <v>4</v>
      </c>
      <c r="L243" t="s">
        <v>1214</v>
      </c>
    </row>
    <row r="244" spans="1:12" x14ac:dyDescent="0.3">
      <c r="A244" t="s">
        <v>1215</v>
      </c>
      <c r="B244" t="s">
        <v>1216</v>
      </c>
      <c r="C244" t="s">
        <v>1217</v>
      </c>
      <c r="D244" t="s">
        <v>30</v>
      </c>
      <c r="E244" t="s">
        <v>1218</v>
      </c>
      <c r="F244" t="b">
        <v>1</v>
      </c>
      <c r="G244" t="s">
        <v>1219</v>
      </c>
      <c r="H244" s="1">
        <f t="shared" si="3"/>
        <v>2</v>
      </c>
      <c r="I244">
        <v>51</v>
      </c>
      <c r="J244">
        <v>461</v>
      </c>
      <c r="K244">
        <v>15</v>
      </c>
      <c r="L244" t="s">
        <v>1220</v>
      </c>
    </row>
    <row r="245" spans="1:12" x14ac:dyDescent="0.3">
      <c r="A245" t="s">
        <v>1221</v>
      </c>
      <c r="B245" t="s">
        <v>1221</v>
      </c>
      <c r="D245" t="s">
        <v>1222</v>
      </c>
      <c r="G245" t="s">
        <v>1223</v>
      </c>
      <c r="H245" s="1">
        <f t="shared" si="3"/>
        <v>1</v>
      </c>
      <c r="I245">
        <v>16</v>
      </c>
      <c r="J245">
        <v>456</v>
      </c>
      <c r="K245">
        <v>0</v>
      </c>
      <c r="L245" t="s">
        <v>1224</v>
      </c>
    </row>
    <row r="246" spans="1:12" x14ac:dyDescent="0.3">
      <c r="A246" t="s">
        <v>1225</v>
      </c>
      <c r="B246" t="s">
        <v>1226</v>
      </c>
      <c r="D246" t="s">
        <v>13</v>
      </c>
      <c r="E246" t="s">
        <v>1227</v>
      </c>
      <c r="G246" t="s">
        <v>1228</v>
      </c>
      <c r="H246" s="1">
        <f t="shared" si="3"/>
        <v>18</v>
      </c>
      <c r="I246">
        <v>16</v>
      </c>
      <c r="J246">
        <v>455</v>
      </c>
      <c r="K246">
        <v>0</v>
      </c>
      <c r="L246" t="s">
        <v>1229</v>
      </c>
    </row>
    <row r="247" spans="1:12" x14ac:dyDescent="0.3">
      <c r="A247" t="s">
        <v>1230</v>
      </c>
      <c r="D247" t="s">
        <v>13</v>
      </c>
      <c r="G247" t="s">
        <v>1231</v>
      </c>
      <c r="H247" s="1">
        <f t="shared" si="3"/>
        <v>3</v>
      </c>
      <c r="I247">
        <v>43</v>
      </c>
      <c r="J247">
        <v>455</v>
      </c>
      <c r="K247">
        <v>140</v>
      </c>
      <c r="L247" t="s">
        <v>1232</v>
      </c>
    </row>
    <row r="248" spans="1:12" x14ac:dyDescent="0.3">
      <c r="A248" t="s">
        <v>1233</v>
      </c>
      <c r="B248" t="s">
        <v>1234</v>
      </c>
      <c r="C248" t="s">
        <v>1235</v>
      </c>
      <c r="D248" t="s">
        <v>30</v>
      </c>
      <c r="F248" t="b">
        <v>1</v>
      </c>
      <c r="G248" t="s">
        <v>1236</v>
      </c>
      <c r="H248" s="1">
        <f t="shared" si="3"/>
        <v>2</v>
      </c>
      <c r="I248">
        <v>147</v>
      </c>
      <c r="J248">
        <v>448</v>
      </c>
      <c r="K248">
        <v>19</v>
      </c>
      <c r="L248" t="s">
        <v>1237</v>
      </c>
    </row>
    <row r="249" spans="1:12" x14ac:dyDescent="0.3">
      <c r="A249" t="s">
        <v>1238</v>
      </c>
      <c r="B249" t="s">
        <v>1239</v>
      </c>
      <c r="C249" t="s">
        <v>1240</v>
      </c>
      <c r="D249" t="s">
        <v>30</v>
      </c>
      <c r="E249" t="s">
        <v>1241</v>
      </c>
      <c r="H249" s="1">
        <f t="shared" si="3"/>
        <v>1</v>
      </c>
      <c r="I249">
        <v>176</v>
      </c>
      <c r="J249">
        <v>448</v>
      </c>
      <c r="K249">
        <v>39</v>
      </c>
      <c r="L249" t="s">
        <v>1242</v>
      </c>
    </row>
    <row r="250" spans="1:12" x14ac:dyDescent="0.3">
      <c r="A250" t="s">
        <v>1243</v>
      </c>
      <c r="B250" t="s">
        <v>1244</v>
      </c>
      <c r="D250" t="s">
        <v>30</v>
      </c>
      <c r="H250" s="1">
        <f t="shared" si="3"/>
        <v>1</v>
      </c>
      <c r="I250">
        <v>25</v>
      </c>
      <c r="J250">
        <v>447</v>
      </c>
      <c r="K250">
        <v>2</v>
      </c>
      <c r="L250" t="s">
        <v>1245</v>
      </c>
    </row>
    <row r="251" spans="1:12" x14ac:dyDescent="0.3">
      <c r="A251" t="s">
        <v>1246</v>
      </c>
      <c r="B251" t="s">
        <v>1247</v>
      </c>
      <c r="C251" t="s">
        <v>1248</v>
      </c>
      <c r="D251" t="s">
        <v>30</v>
      </c>
      <c r="G251" t="s">
        <v>1249</v>
      </c>
      <c r="H251" s="1">
        <f t="shared" si="3"/>
        <v>6</v>
      </c>
      <c r="I251">
        <v>229</v>
      </c>
      <c r="J251">
        <v>445</v>
      </c>
      <c r="K251">
        <v>49</v>
      </c>
      <c r="L251" t="s">
        <v>1250</v>
      </c>
    </row>
    <row r="252" spans="1:12" x14ac:dyDescent="0.3">
      <c r="A252" t="s">
        <v>1251</v>
      </c>
      <c r="B252" t="s">
        <v>1252</v>
      </c>
      <c r="D252" t="s">
        <v>30</v>
      </c>
      <c r="H252" s="1">
        <f t="shared" si="3"/>
        <v>1</v>
      </c>
      <c r="I252">
        <v>28</v>
      </c>
      <c r="J252">
        <v>440</v>
      </c>
      <c r="K252">
        <v>18</v>
      </c>
      <c r="L252" t="s">
        <v>1253</v>
      </c>
    </row>
    <row r="253" spans="1:12" x14ac:dyDescent="0.3">
      <c r="A253" t="s">
        <v>1254</v>
      </c>
      <c r="B253" t="s">
        <v>1255</v>
      </c>
      <c r="C253" t="s">
        <v>1256</v>
      </c>
      <c r="D253" t="s">
        <v>1257</v>
      </c>
      <c r="E253" t="s">
        <v>1258</v>
      </c>
      <c r="F253" t="b">
        <v>1</v>
      </c>
      <c r="G253" t="s">
        <v>1259</v>
      </c>
      <c r="H253" s="1">
        <f t="shared" si="3"/>
        <v>13</v>
      </c>
      <c r="I253">
        <v>142</v>
      </c>
      <c r="J253">
        <v>437</v>
      </c>
      <c r="K253">
        <v>512</v>
      </c>
      <c r="L253" t="s">
        <v>1260</v>
      </c>
    </row>
    <row r="254" spans="1:12" x14ac:dyDescent="0.3">
      <c r="A254" t="s">
        <v>1261</v>
      </c>
      <c r="B254" t="s">
        <v>1262</v>
      </c>
      <c r="D254" t="s">
        <v>30</v>
      </c>
      <c r="E254" t="s">
        <v>1263</v>
      </c>
      <c r="G254" t="s">
        <v>1264</v>
      </c>
      <c r="H254" s="1">
        <f t="shared" si="3"/>
        <v>6</v>
      </c>
      <c r="I254">
        <v>31</v>
      </c>
      <c r="J254">
        <v>434</v>
      </c>
      <c r="K254">
        <v>0</v>
      </c>
      <c r="L254" t="s">
        <v>1265</v>
      </c>
    </row>
    <row r="255" spans="1:12" x14ac:dyDescent="0.3">
      <c r="A255" t="s">
        <v>1266</v>
      </c>
      <c r="B255" t="s">
        <v>1267</v>
      </c>
      <c r="C255" t="s">
        <v>1268</v>
      </c>
      <c r="D255" t="s">
        <v>30</v>
      </c>
      <c r="E255" t="s">
        <v>1269</v>
      </c>
      <c r="H255" s="1">
        <f t="shared" si="3"/>
        <v>1</v>
      </c>
      <c r="I255">
        <v>61</v>
      </c>
      <c r="J255">
        <v>433</v>
      </c>
      <c r="K255">
        <v>36</v>
      </c>
      <c r="L255" t="s">
        <v>1270</v>
      </c>
    </row>
    <row r="256" spans="1:12" x14ac:dyDescent="0.3">
      <c r="A256" t="s">
        <v>1271</v>
      </c>
      <c r="B256" t="s">
        <v>1272</v>
      </c>
      <c r="C256" t="s">
        <v>1273</v>
      </c>
      <c r="D256" t="s">
        <v>30</v>
      </c>
      <c r="F256" t="b">
        <v>1</v>
      </c>
      <c r="G256" t="s">
        <v>1274</v>
      </c>
      <c r="H256" s="1">
        <f t="shared" si="3"/>
        <v>20</v>
      </c>
      <c r="I256">
        <v>518</v>
      </c>
      <c r="J256">
        <v>431</v>
      </c>
      <c r="K256">
        <v>609</v>
      </c>
      <c r="L256" t="s">
        <v>1275</v>
      </c>
    </row>
    <row r="257" spans="1:12" x14ac:dyDescent="0.3">
      <c r="A257" t="s">
        <v>1276</v>
      </c>
      <c r="B257" t="s">
        <v>1277</v>
      </c>
      <c r="D257" t="s">
        <v>13</v>
      </c>
      <c r="G257" t="s">
        <v>1278</v>
      </c>
      <c r="H257" s="1">
        <f t="shared" si="3"/>
        <v>3</v>
      </c>
      <c r="I257">
        <v>70</v>
      </c>
      <c r="J257">
        <v>429</v>
      </c>
      <c r="K257">
        <v>72</v>
      </c>
      <c r="L257" t="s">
        <v>1279</v>
      </c>
    </row>
    <row r="258" spans="1:12" ht="201.6" x14ac:dyDescent="0.3">
      <c r="A258" t="s">
        <v>1280</v>
      </c>
      <c r="B258" t="s">
        <v>1281</v>
      </c>
      <c r="C258" t="s">
        <v>641</v>
      </c>
      <c r="D258" t="s">
        <v>30</v>
      </c>
      <c r="G258" s="1" t="s">
        <v>1282</v>
      </c>
      <c r="H258" s="1">
        <f t="shared" si="3"/>
        <v>10</v>
      </c>
      <c r="I258">
        <v>81</v>
      </c>
      <c r="J258">
        <v>427</v>
      </c>
      <c r="K258">
        <v>63</v>
      </c>
      <c r="L258" t="s">
        <v>1283</v>
      </c>
    </row>
    <row r="259" spans="1:12" x14ac:dyDescent="0.3">
      <c r="A259" t="s">
        <v>1284</v>
      </c>
      <c r="B259" t="s">
        <v>1285</v>
      </c>
      <c r="C259" t="s">
        <v>1286</v>
      </c>
      <c r="D259" t="s">
        <v>13</v>
      </c>
      <c r="E259" t="s">
        <v>1287</v>
      </c>
      <c r="G259" t="s">
        <v>1288</v>
      </c>
      <c r="H259" s="1">
        <f t="shared" ref="H259:H322" si="4">LEN(TRIM(G259))-LEN(SUBSTITUTE(TRIM(G259)," ",""))+1</f>
        <v>2</v>
      </c>
      <c r="I259">
        <v>170</v>
      </c>
      <c r="J259">
        <v>425</v>
      </c>
      <c r="K259">
        <v>9</v>
      </c>
      <c r="L259" t="s">
        <v>1289</v>
      </c>
    </row>
    <row r="260" spans="1:12" x14ac:dyDescent="0.3">
      <c r="A260" t="s">
        <v>1290</v>
      </c>
      <c r="B260" t="s">
        <v>1291</v>
      </c>
      <c r="C260" t="s">
        <v>1292</v>
      </c>
      <c r="D260" t="s">
        <v>30</v>
      </c>
      <c r="E260" t="s">
        <v>1293</v>
      </c>
      <c r="H260" s="1">
        <f t="shared" si="4"/>
        <v>1</v>
      </c>
      <c r="I260">
        <v>0</v>
      </c>
      <c r="J260">
        <v>422</v>
      </c>
      <c r="K260">
        <v>23</v>
      </c>
      <c r="L260" t="s">
        <v>1294</v>
      </c>
    </row>
    <row r="261" spans="1:12" x14ac:dyDescent="0.3">
      <c r="A261" t="s">
        <v>1295</v>
      </c>
      <c r="B261" t="s">
        <v>1296</v>
      </c>
      <c r="C261" t="s">
        <v>1297</v>
      </c>
      <c r="D261" t="s">
        <v>13</v>
      </c>
      <c r="G261" t="s">
        <v>1298</v>
      </c>
      <c r="H261" s="1">
        <f t="shared" si="4"/>
        <v>14</v>
      </c>
      <c r="I261">
        <v>96</v>
      </c>
      <c r="J261">
        <v>421</v>
      </c>
      <c r="K261">
        <v>198</v>
      </c>
      <c r="L261" t="s">
        <v>1299</v>
      </c>
    </row>
    <row r="262" spans="1:12" x14ac:dyDescent="0.3">
      <c r="A262" t="s">
        <v>1300</v>
      </c>
      <c r="B262" t="s">
        <v>1301</v>
      </c>
      <c r="C262" t="s">
        <v>1302</v>
      </c>
      <c r="D262" t="s">
        <v>30</v>
      </c>
      <c r="E262" t="s">
        <v>1303</v>
      </c>
      <c r="F262" t="b">
        <v>1</v>
      </c>
      <c r="G262" t="s">
        <v>1304</v>
      </c>
      <c r="H262" s="1">
        <f t="shared" si="4"/>
        <v>11</v>
      </c>
      <c r="I262">
        <v>62</v>
      </c>
      <c r="J262">
        <v>420</v>
      </c>
      <c r="K262">
        <v>2</v>
      </c>
      <c r="L262" t="s">
        <v>1305</v>
      </c>
    </row>
    <row r="263" spans="1:12" x14ac:dyDescent="0.3">
      <c r="A263" t="s">
        <v>1306</v>
      </c>
      <c r="B263" t="s">
        <v>1307</v>
      </c>
      <c r="C263" t="s">
        <v>1308</v>
      </c>
      <c r="D263" t="s">
        <v>13</v>
      </c>
      <c r="F263" t="b">
        <v>1</v>
      </c>
      <c r="H263" s="1">
        <f t="shared" si="4"/>
        <v>1</v>
      </c>
      <c r="I263">
        <v>100</v>
      </c>
      <c r="J263">
        <v>419</v>
      </c>
      <c r="K263">
        <v>146</v>
      </c>
      <c r="L263" t="s">
        <v>1309</v>
      </c>
    </row>
    <row r="264" spans="1:12" x14ac:dyDescent="0.3">
      <c r="A264" t="s">
        <v>1310</v>
      </c>
      <c r="B264" t="s">
        <v>1311</v>
      </c>
      <c r="D264" t="s">
        <v>30</v>
      </c>
      <c r="E264" t="s">
        <v>1312</v>
      </c>
      <c r="H264" s="1">
        <f t="shared" si="4"/>
        <v>1</v>
      </c>
      <c r="I264">
        <v>203</v>
      </c>
      <c r="J264">
        <v>419</v>
      </c>
      <c r="K264">
        <v>18</v>
      </c>
      <c r="L264" t="s">
        <v>1313</v>
      </c>
    </row>
    <row r="265" spans="1:12" x14ac:dyDescent="0.3">
      <c r="A265" t="s">
        <v>1314</v>
      </c>
      <c r="B265" t="s">
        <v>1315</v>
      </c>
      <c r="D265" t="s">
        <v>13</v>
      </c>
      <c r="E265" t="s">
        <v>1316</v>
      </c>
      <c r="G265" t="s">
        <v>1317</v>
      </c>
      <c r="H265" s="1">
        <f t="shared" si="4"/>
        <v>6</v>
      </c>
      <c r="I265">
        <v>34</v>
      </c>
      <c r="J265">
        <v>419</v>
      </c>
      <c r="K265">
        <v>0</v>
      </c>
      <c r="L265" t="s">
        <v>1318</v>
      </c>
    </row>
    <row r="266" spans="1:12" x14ac:dyDescent="0.3">
      <c r="A266" t="s">
        <v>1319</v>
      </c>
      <c r="B266" t="s">
        <v>1320</v>
      </c>
      <c r="C266" t="s">
        <v>110</v>
      </c>
      <c r="D266" t="s">
        <v>30</v>
      </c>
      <c r="G266" t="s">
        <v>1321</v>
      </c>
      <c r="H266" s="1">
        <f t="shared" si="4"/>
        <v>1</v>
      </c>
      <c r="I266">
        <v>14</v>
      </c>
      <c r="J266">
        <v>415</v>
      </c>
      <c r="K266">
        <v>9</v>
      </c>
      <c r="L266" t="s">
        <v>1322</v>
      </c>
    </row>
    <row r="267" spans="1:12" x14ac:dyDescent="0.3">
      <c r="A267" t="s">
        <v>1323</v>
      </c>
      <c r="B267" t="s">
        <v>1324</v>
      </c>
      <c r="C267" t="s">
        <v>1325</v>
      </c>
      <c r="D267" t="s">
        <v>13</v>
      </c>
      <c r="G267" t="s">
        <v>1326</v>
      </c>
      <c r="H267" s="1">
        <f t="shared" si="4"/>
        <v>14</v>
      </c>
      <c r="I267">
        <v>123</v>
      </c>
      <c r="J267">
        <v>414</v>
      </c>
      <c r="K267">
        <v>17</v>
      </c>
      <c r="L267" t="s">
        <v>1327</v>
      </c>
    </row>
    <row r="268" spans="1:12" x14ac:dyDescent="0.3">
      <c r="A268" t="s">
        <v>1328</v>
      </c>
      <c r="B268" t="s">
        <v>1329</v>
      </c>
      <c r="C268" t="s">
        <v>1330</v>
      </c>
      <c r="D268" t="s">
        <v>30</v>
      </c>
      <c r="E268" t="s">
        <v>1331</v>
      </c>
      <c r="G268" t="s">
        <v>1332</v>
      </c>
      <c r="H268" s="1">
        <f t="shared" si="4"/>
        <v>3</v>
      </c>
      <c r="I268">
        <v>81</v>
      </c>
      <c r="J268">
        <v>411</v>
      </c>
      <c r="K268">
        <v>36</v>
      </c>
      <c r="L268" t="s">
        <v>1333</v>
      </c>
    </row>
    <row r="269" spans="1:12" x14ac:dyDescent="0.3">
      <c r="A269" t="s">
        <v>1334</v>
      </c>
      <c r="B269" t="s">
        <v>1335</v>
      </c>
      <c r="D269" t="s">
        <v>13</v>
      </c>
      <c r="G269" t="s">
        <v>1336</v>
      </c>
      <c r="H269" s="1">
        <f t="shared" si="4"/>
        <v>29</v>
      </c>
      <c r="I269">
        <v>44</v>
      </c>
      <c r="J269">
        <v>406</v>
      </c>
      <c r="K269">
        <v>56</v>
      </c>
      <c r="L269" t="s">
        <v>1337</v>
      </c>
    </row>
    <row r="270" spans="1:12" ht="244.8" x14ac:dyDescent="0.3">
      <c r="A270" t="s">
        <v>1338</v>
      </c>
      <c r="B270" t="s">
        <v>1339</v>
      </c>
      <c r="D270" t="s">
        <v>30</v>
      </c>
      <c r="E270" t="s">
        <v>1340</v>
      </c>
      <c r="F270" t="b">
        <v>1</v>
      </c>
      <c r="G270" s="1" t="s">
        <v>1341</v>
      </c>
      <c r="H270" s="1">
        <f t="shared" si="4"/>
        <v>24</v>
      </c>
      <c r="I270">
        <v>87</v>
      </c>
      <c r="J270">
        <v>406</v>
      </c>
      <c r="K270">
        <v>16</v>
      </c>
      <c r="L270" t="s">
        <v>1342</v>
      </c>
    </row>
    <row r="271" spans="1:12" x14ac:dyDescent="0.3">
      <c r="A271" t="s">
        <v>1343</v>
      </c>
      <c r="B271" t="s">
        <v>1344</v>
      </c>
      <c r="C271" t="s">
        <v>1345</v>
      </c>
      <c r="D271" t="s">
        <v>13</v>
      </c>
      <c r="E271" t="s">
        <v>1346</v>
      </c>
      <c r="F271" t="b">
        <v>1</v>
      </c>
      <c r="G271" t="s">
        <v>1347</v>
      </c>
      <c r="H271" s="1">
        <f t="shared" si="4"/>
        <v>14</v>
      </c>
      <c r="I271">
        <v>105</v>
      </c>
      <c r="J271">
        <v>403</v>
      </c>
      <c r="K271">
        <v>18</v>
      </c>
      <c r="L271" t="s">
        <v>1348</v>
      </c>
    </row>
    <row r="272" spans="1:12" x14ac:dyDescent="0.3">
      <c r="A272" t="s">
        <v>1349</v>
      </c>
      <c r="B272" t="s">
        <v>1350</v>
      </c>
      <c r="C272" t="s">
        <v>1351</v>
      </c>
      <c r="D272" t="s">
        <v>13</v>
      </c>
      <c r="G272" t="s">
        <v>1352</v>
      </c>
      <c r="H272" s="1">
        <f t="shared" si="4"/>
        <v>13</v>
      </c>
      <c r="I272">
        <v>119</v>
      </c>
      <c r="J272">
        <v>403</v>
      </c>
      <c r="K272">
        <v>236</v>
      </c>
      <c r="L272" t="s">
        <v>1353</v>
      </c>
    </row>
    <row r="273" spans="1:12" x14ac:dyDescent="0.3">
      <c r="A273" t="s">
        <v>1354</v>
      </c>
      <c r="B273" t="s">
        <v>1355</v>
      </c>
      <c r="C273" t="s">
        <v>817</v>
      </c>
      <c r="D273" t="s">
        <v>13</v>
      </c>
      <c r="G273" t="s">
        <v>1356</v>
      </c>
      <c r="H273" s="1">
        <f t="shared" si="4"/>
        <v>3</v>
      </c>
      <c r="I273">
        <v>46</v>
      </c>
      <c r="J273">
        <v>403</v>
      </c>
      <c r="K273">
        <v>95</v>
      </c>
      <c r="L273" t="s">
        <v>1357</v>
      </c>
    </row>
    <row r="274" spans="1:12" ht="172.8" x14ac:dyDescent="0.3">
      <c r="A274" t="s">
        <v>1358</v>
      </c>
      <c r="B274" t="s">
        <v>1359</v>
      </c>
      <c r="C274" t="s">
        <v>1360</v>
      </c>
      <c r="D274" t="s">
        <v>1361</v>
      </c>
      <c r="G274" s="1" t="s">
        <v>1362</v>
      </c>
      <c r="H274" s="1">
        <f t="shared" si="4"/>
        <v>6</v>
      </c>
      <c r="I274">
        <v>102</v>
      </c>
      <c r="J274">
        <v>401</v>
      </c>
      <c r="K274">
        <v>147</v>
      </c>
      <c r="L274" t="s">
        <v>1363</v>
      </c>
    </row>
    <row r="275" spans="1:12" x14ac:dyDescent="0.3">
      <c r="A275" t="s">
        <v>1364</v>
      </c>
      <c r="B275" t="s">
        <v>1365</v>
      </c>
      <c r="C275" t="s">
        <v>1366</v>
      </c>
      <c r="D275" t="s">
        <v>13</v>
      </c>
      <c r="F275" t="b">
        <v>1</v>
      </c>
      <c r="G275" t="s">
        <v>1367</v>
      </c>
      <c r="H275" s="1">
        <f t="shared" si="4"/>
        <v>20</v>
      </c>
      <c r="I275">
        <v>64</v>
      </c>
      <c r="J275">
        <v>400</v>
      </c>
      <c r="K275">
        <v>12</v>
      </c>
      <c r="L275" t="s">
        <v>1368</v>
      </c>
    </row>
    <row r="276" spans="1:12" x14ac:dyDescent="0.3">
      <c r="A276" t="s">
        <v>1369</v>
      </c>
      <c r="B276" t="s">
        <v>1370</v>
      </c>
      <c r="D276" t="s">
        <v>13</v>
      </c>
      <c r="E276" t="s">
        <v>1371</v>
      </c>
      <c r="H276" s="1">
        <f t="shared" si="4"/>
        <v>1</v>
      </c>
      <c r="I276">
        <v>29</v>
      </c>
      <c r="J276">
        <v>399</v>
      </c>
      <c r="K276">
        <v>24</v>
      </c>
      <c r="L276" t="s">
        <v>1372</v>
      </c>
    </row>
    <row r="277" spans="1:12" ht="129.6" x14ac:dyDescent="0.3">
      <c r="A277" t="s">
        <v>1373</v>
      </c>
      <c r="B277" t="s">
        <v>1374</v>
      </c>
      <c r="D277" t="s">
        <v>13</v>
      </c>
      <c r="E277" t="s">
        <v>1375</v>
      </c>
      <c r="F277" t="b">
        <v>1</v>
      </c>
      <c r="G277" s="1" t="s">
        <v>1376</v>
      </c>
      <c r="H277" s="1">
        <f t="shared" si="4"/>
        <v>9</v>
      </c>
      <c r="I277">
        <v>48</v>
      </c>
      <c r="J277">
        <v>398</v>
      </c>
      <c r="K277">
        <v>140</v>
      </c>
      <c r="L277" t="s">
        <v>1377</v>
      </c>
    </row>
    <row r="278" spans="1:12" x14ac:dyDescent="0.3">
      <c r="A278" t="s">
        <v>1378</v>
      </c>
      <c r="B278" t="s">
        <v>1379</v>
      </c>
      <c r="C278" t="s">
        <v>1380</v>
      </c>
      <c r="D278" t="s">
        <v>30</v>
      </c>
      <c r="E278" t="s">
        <v>1381</v>
      </c>
      <c r="H278" s="1">
        <f t="shared" si="4"/>
        <v>1</v>
      </c>
      <c r="I278">
        <v>355</v>
      </c>
      <c r="J278">
        <v>396</v>
      </c>
      <c r="K278">
        <v>0</v>
      </c>
      <c r="L278" t="s">
        <v>1382</v>
      </c>
    </row>
    <row r="279" spans="1:12" x14ac:dyDescent="0.3">
      <c r="A279" t="s">
        <v>1383</v>
      </c>
      <c r="B279" t="s">
        <v>1384</v>
      </c>
      <c r="C279" t="s">
        <v>1385</v>
      </c>
      <c r="D279" t="s">
        <v>290</v>
      </c>
      <c r="F279" t="b">
        <v>1</v>
      </c>
      <c r="H279" s="1">
        <f t="shared" si="4"/>
        <v>1</v>
      </c>
      <c r="I279">
        <v>96</v>
      </c>
      <c r="J279">
        <v>396</v>
      </c>
      <c r="K279">
        <v>7</v>
      </c>
      <c r="L279" t="s">
        <v>1386</v>
      </c>
    </row>
    <row r="280" spans="1:12" x14ac:dyDescent="0.3">
      <c r="A280" t="s">
        <v>1387</v>
      </c>
      <c r="B280" t="s">
        <v>1388</v>
      </c>
      <c r="C280" t="s">
        <v>1389</v>
      </c>
      <c r="D280" t="s">
        <v>13</v>
      </c>
      <c r="G280" t="s">
        <v>1390</v>
      </c>
      <c r="H280" s="1">
        <f t="shared" si="4"/>
        <v>6</v>
      </c>
      <c r="I280">
        <v>139</v>
      </c>
      <c r="J280">
        <v>394</v>
      </c>
      <c r="K280">
        <v>6</v>
      </c>
      <c r="L280" t="s">
        <v>1391</v>
      </c>
    </row>
    <row r="281" spans="1:12" x14ac:dyDescent="0.3">
      <c r="A281" t="s">
        <v>1392</v>
      </c>
      <c r="B281" t="s">
        <v>1393</v>
      </c>
      <c r="D281" t="s">
        <v>13</v>
      </c>
      <c r="H281" s="1">
        <f t="shared" si="4"/>
        <v>1</v>
      </c>
      <c r="I281">
        <v>20</v>
      </c>
      <c r="J281">
        <v>393</v>
      </c>
      <c r="K281">
        <v>18</v>
      </c>
      <c r="L281" t="s">
        <v>1394</v>
      </c>
    </row>
    <row r="282" spans="1:12" x14ac:dyDescent="0.3">
      <c r="A282" t="s">
        <v>1395</v>
      </c>
      <c r="B282" t="s">
        <v>1396</v>
      </c>
      <c r="C282" t="s">
        <v>1397</v>
      </c>
      <c r="D282" t="s">
        <v>13</v>
      </c>
      <c r="E282" t="s">
        <v>1398</v>
      </c>
      <c r="F282" t="b">
        <v>1</v>
      </c>
      <c r="G282" t="s">
        <v>1399</v>
      </c>
      <c r="H282" s="1">
        <f t="shared" si="4"/>
        <v>3</v>
      </c>
      <c r="I282">
        <v>101</v>
      </c>
      <c r="J282">
        <v>393</v>
      </c>
      <c r="K282">
        <v>44</v>
      </c>
      <c r="L282" t="s">
        <v>1400</v>
      </c>
    </row>
    <row r="283" spans="1:12" x14ac:dyDescent="0.3">
      <c r="A283" t="s">
        <v>1401</v>
      </c>
      <c r="B283" t="s">
        <v>1402</v>
      </c>
      <c r="D283" t="s">
        <v>30</v>
      </c>
      <c r="E283" t="s">
        <v>1403</v>
      </c>
      <c r="G283" t="s">
        <v>1404</v>
      </c>
      <c r="H283" s="1">
        <f t="shared" si="4"/>
        <v>9</v>
      </c>
      <c r="I283">
        <v>36</v>
      </c>
      <c r="J283">
        <v>392</v>
      </c>
      <c r="K283">
        <v>0</v>
      </c>
      <c r="L283" t="s">
        <v>1405</v>
      </c>
    </row>
    <row r="284" spans="1:12" x14ac:dyDescent="0.3">
      <c r="A284" t="s">
        <v>1406</v>
      </c>
      <c r="B284" t="s">
        <v>1407</v>
      </c>
      <c r="C284" t="s">
        <v>1408</v>
      </c>
      <c r="D284" t="s">
        <v>30</v>
      </c>
      <c r="E284" t="s">
        <v>1409</v>
      </c>
      <c r="G284" t="s">
        <v>1410</v>
      </c>
      <c r="H284" s="1">
        <f t="shared" si="4"/>
        <v>25</v>
      </c>
      <c r="I284">
        <v>48</v>
      </c>
      <c r="J284">
        <v>390</v>
      </c>
      <c r="K284">
        <v>170</v>
      </c>
      <c r="L284" t="s">
        <v>1411</v>
      </c>
    </row>
    <row r="285" spans="1:12" x14ac:dyDescent="0.3">
      <c r="A285" t="s">
        <v>1412</v>
      </c>
      <c r="B285" t="s">
        <v>1413</v>
      </c>
      <c r="D285" t="s">
        <v>30</v>
      </c>
      <c r="G285" t="s">
        <v>1414</v>
      </c>
      <c r="H285" s="1">
        <f t="shared" si="4"/>
        <v>3</v>
      </c>
      <c r="I285">
        <v>130</v>
      </c>
      <c r="J285">
        <v>390</v>
      </c>
      <c r="K285">
        <v>94</v>
      </c>
      <c r="L285" t="s">
        <v>1415</v>
      </c>
    </row>
    <row r="286" spans="1:12" x14ac:dyDescent="0.3">
      <c r="A286" t="s">
        <v>1416</v>
      </c>
      <c r="B286" t="s">
        <v>1417</v>
      </c>
      <c r="D286" t="s">
        <v>30</v>
      </c>
      <c r="E286" t="s">
        <v>1418</v>
      </c>
      <c r="H286" s="1">
        <f t="shared" si="4"/>
        <v>1</v>
      </c>
      <c r="I286">
        <v>88</v>
      </c>
      <c r="J286">
        <v>390</v>
      </c>
      <c r="K286">
        <v>0</v>
      </c>
      <c r="L286" t="s">
        <v>1419</v>
      </c>
    </row>
    <row r="287" spans="1:12" x14ac:dyDescent="0.3">
      <c r="A287" t="s">
        <v>1420</v>
      </c>
      <c r="B287" t="s">
        <v>1421</v>
      </c>
      <c r="C287" t="s">
        <v>1422</v>
      </c>
      <c r="D287" t="s">
        <v>30</v>
      </c>
      <c r="G287" t="s">
        <v>1423</v>
      </c>
      <c r="H287" s="1">
        <f t="shared" si="4"/>
        <v>14</v>
      </c>
      <c r="I287">
        <v>26</v>
      </c>
      <c r="J287">
        <v>389</v>
      </c>
      <c r="K287">
        <v>269</v>
      </c>
      <c r="L287" t="s">
        <v>1424</v>
      </c>
    </row>
    <row r="288" spans="1:12" x14ac:dyDescent="0.3">
      <c r="A288" t="s">
        <v>1425</v>
      </c>
      <c r="B288" t="s">
        <v>1426</v>
      </c>
      <c r="C288" t="s">
        <v>1427</v>
      </c>
      <c r="D288" t="s">
        <v>13</v>
      </c>
      <c r="E288" t="s">
        <v>1428</v>
      </c>
      <c r="F288" t="b">
        <v>1</v>
      </c>
      <c r="G288" t="s">
        <v>1429</v>
      </c>
      <c r="H288" s="1">
        <f t="shared" si="4"/>
        <v>18</v>
      </c>
      <c r="I288">
        <v>81</v>
      </c>
      <c r="J288">
        <v>388</v>
      </c>
      <c r="K288">
        <v>27</v>
      </c>
      <c r="L288" t="s">
        <v>1430</v>
      </c>
    </row>
    <row r="289" spans="1:12" x14ac:dyDescent="0.3">
      <c r="A289" t="s">
        <v>1431</v>
      </c>
      <c r="B289" t="s">
        <v>1432</v>
      </c>
      <c r="C289" t="s">
        <v>1051</v>
      </c>
      <c r="D289" t="s">
        <v>13</v>
      </c>
      <c r="E289" t="s">
        <v>1433</v>
      </c>
      <c r="H289" s="1">
        <f t="shared" si="4"/>
        <v>1</v>
      </c>
      <c r="I289">
        <v>393</v>
      </c>
      <c r="J289">
        <v>388</v>
      </c>
      <c r="K289">
        <v>38</v>
      </c>
      <c r="L289" t="s">
        <v>1434</v>
      </c>
    </row>
    <row r="290" spans="1:12" ht="360" x14ac:dyDescent="0.3">
      <c r="A290" t="s">
        <v>1435</v>
      </c>
      <c r="B290" t="s">
        <v>1436</v>
      </c>
      <c r="D290" t="s">
        <v>1437</v>
      </c>
      <c r="G290" s="1" t="s">
        <v>1438</v>
      </c>
      <c r="H290" s="1">
        <f t="shared" si="4"/>
        <v>23</v>
      </c>
      <c r="I290">
        <v>154</v>
      </c>
      <c r="J290">
        <v>388</v>
      </c>
      <c r="K290">
        <v>60</v>
      </c>
      <c r="L290" t="s">
        <v>1439</v>
      </c>
    </row>
    <row r="291" spans="1:12" x14ac:dyDescent="0.3">
      <c r="A291" t="s">
        <v>1440</v>
      </c>
      <c r="B291" t="s">
        <v>1441</v>
      </c>
      <c r="D291" t="s">
        <v>13</v>
      </c>
      <c r="E291" t="s">
        <v>1442</v>
      </c>
      <c r="G291" t="s">
        <v>1443</v>
      </c>
      <c r="H291" s="1">
        <f t="shared" si="4"/>
        <v>3</v>
      </c>
      <c r="I291">
        <v>17</v>
      </c>
      <c r="J291">
        <v>386</v>
      </c>
      <c r="K291">
        <v>0</v>
      </c>
      <c r="L291" t="s">
        <v>1444</v>
      </c>
    </row>
    <row r="292" spans="1:12" x14ac:dyDescent="0.3">
      <c r="A292" t="s">
        <v>1445</v>
      </c>
      <c r="B292" t="s">
        <v>1446</v>
      </c>
      <c r="C292" t="s">
        <v>1447</v>
      </c>
      <c r="D292" t="s">
        <v>30</v>
      </c>
      <c r="F292" t="b">
        <v>1</v>
      </c>
      <c r="H292" s="1">
        <f t="shared" si="4"/>
        <v>1</v>
      </c>
      <c r="I292">
        <v>52</v>
      </c>
      <c r="J292">
        <v>386</v>
      </c>
      <c r="K292">
        <v>13</v>
      </c>
      <c r="L292" t="s">
        <v>1448</v>
      </c>
    </row>
    <row r="293" spans="1:12" x14ac:dyDescent="0.3">
      <c r="A293" t="s">
        <v>1449</v>
      </c>
      <c r="B293" t="s">
        <v>1450</v>
      </c>
      <c r="C293" t="s">
        <v>1451</v>
      </c>
      <c r="D293" t="s">
        <v>30</v>
      </c>
      <c r="G293" t="s">
        <v>1452</v>
      </c>
      <c r="H293" s="1">
        <f t="shared" si="4"/>
        <v>19</v>
      </c>
      <c r="I293">
        <v>71</v>
      </c>
      <c r="J293">
        <v>384</v>
      </c>
      <c r="K293">
        <v>54</v>
      </c>
      <c r="L293" t="s">
        <v>1453</v>
      </c>
    </row>
    <row r="294" spans="1:12" x14ac:dyDescent="0.3">
      <c r="A294" t="s">
        <v>1454</v>
      </c>
      <c r="B294" t="s">
        <v>1455</v>
      </c>
      <c r="C294" t="s">
        <v>1456</v>
      </c>
      <c r="D294" t="s">
        <v>30</v>
      </c>
      <c r="E294" t="s">
        <v>1457</v>
      </c>
      <c r="H294" s="1">
        <f t="shared" si="4"/>
        <v>1</v>
      </c>
      <c r="I294">
        <v>57</v>
      </c>
      <c r="J294">
        <v>383</v>
      </c>
      <c r="K294">
        <v>34</v>
      </c>
      <c r="L294" t="s">
        <v>1458</v>
      </c>
    </row>
    <row r="295" spans="1:12" ht="302.39999999999998" x14ac:dyDescent="0.3">
      <c r="A295" t="s">
        <v>1459</v>
      </c>
      <c r="B295" t="s">
        <v>1460</v>
      </c>
      <c r="C295" t="s">
        <v>1461</v>
      </c>
      <c r="D295" t="s">
        <v>13</v>
      </c>
      <c r="G295" s="1" t="s">
        <v>1462</v>
      </c>
      <c r="H295" s="1">
        <f t="shared" si="4"/>
        <v>13</v>
      </c>
      <c r="I295">
        <v>14</v>
      </c>
      <c r="J295">
        <v>383</v>
      </c>
      <c r="K295">
        <v>10</v>
      </c>
      <c r="L295" t="s">
        <v>1463</v>
      </c>
    </row>
    <row r="296" spans="1:12" x14ac:dyDescent="0.3">
      <c r="A296" t="s">
        <v>1464</v>
      </c>
      <c r="B296" t="s">
        <v>1465</v>
      </c>
      <c r="D296" t="s">
        <v>13</v>
      </c>
      <c r="G296" t="s">
        <v>1466</v>
      </c>
      <c r="H296" s="1">
        <f t="shared" si="4"/>
        <v>19</v>
      </c>
      <c r="I296">
        <v>102</v>
      </c>
      <c r="J296">
        <v>382</v>
      </c>
      <c r="K296">
        <v>28</v>
      </c>
      <c r="L296" t="s">
        <v>1467</v>
      </c>
    </row>
    <row r="297" spans="1:12" x14ac:dyDescent="0.3">
      <c r="A297" t="s">
        <v>1468</v>
      </c>
      <c r="B297" t="s">
        <v>1469</v>
      </c>
      <c r="C297" t="s">
        <v>1470</v>
      </c>
      <c r="D297" t="s">
        <v>30</v>
      </c>
      <c r="H297" s="1">
        <f t="shared" si="4"/>
        <v>1</v>
      </c>
      <c r="I297">
        <v>195</v>
      </c>
      <c r="J297">
        <v>382</v>
      </c>
      <c r="K297">
        <v>0</v>
      </c>
      <c r="L297" t="s">
        <v>1471</v>
      </c>
    </row>
    <row r="298" spans="1:12" x14ac:dyDescent="0.3">
      <c r="A298" t="s">
        <v>1472</v>
      </c>
      <c r="B298" t="s">
        <v>1473</v>
      </c>
      <c r="C298" t="s">
        <v>1474</v>
      </c>
      <c r="D298" t="s">
        <v>13</v>
      </c>
      <c r="E298" t="s">
        <v>1475</v>
      </c>
      <c r="F298" t="b">
        <v>1</v>
      </c>
      <c r="H298" s="1">
        <f t="shared" si="4"/>
        <v>1</v>
      </c>
      <c r="I298">
        <v>49</v>
      </c>
      <c r="J298">
        <v>382</v>
      </c>
      <c r="K298">
        <v>47</v>
      </c>
      <c r="L298" t="s">
        <v>1476</v>
      </c>
    </row>
    <row r="299" spans="1:12" ht="302.39999999999998" x14ac:dyDescent="0.3">
      <c r="A299" t="s">
        <v>1477</v>
      </c>
      <c r="B299" t="s">
        <v>1478</v>
      </c>
      <c r="D299" t="s">
        <v>1479</v>
      </c>
      <c r="G299" s="1" t="s">
        <v>1480</v>
      </c>
      <c r="H299" s="1">
        <f t="shared" si="4"/>
        <v>8</v>
      </c>
      <c r="I299">
        <v>73</v>
      </c>
      <c r="J299">
        <v>381</v>
      </c>
      <c r="K299">
        <v>1036</v>
      </c>
      <c r="L299" t="s">
        <v>1481</v>
      </c>
    </row>
    <row r="300" spans="1:12" x14ac:dyDescent="0.3">
      <c r="A300" t="s">
        <v>1482</v>
      </c>
      <c r="B300" t="s">
        <v>1483</v>
      </c>
      <c r="C300" t="s">
        <v>1484</v>
      </c>
      <c r="D300" t="s">
        <v>13</v>
      </c>
      <c r="F300" t="b">
        <v>1</v>
      </c>
      <c r="H300" s="1">
        <f t="shared" si="4"/>
        <v>1</v>
      </c>
      <c r="I300">
        <v>204</v>
      </c>
      <c r="J300">
        <v>379</v>
      </c>
      <c r="K300">
        <v>29</v>
      </c>
      <c r="L300" t="s">
        <v>1485</v>
      </c>
    </row>
    <row r="301" spans="1:12" x14ac:dyDescent="0.3">
      <c r="A301" t="s">
        <v>1486</v>
      </c>
      <c r="B301" t="s">
        <v>1487</v>
      </c>
      <c r="C301" t="s">
        <v>1488</v>
      </c>
      <c r="D301" t="s">
        <v>30</v>
      </c>
      <c r="H301" s="1">
        <f t="shared" si="4"/>
        <v>1</v>
      </c>
      <c r="I301">
        <v>12</v>
      </c>
      <c r="J301">
        <v>378</v>
      </c>
      <c r="K301">
        <v>0</v>
      </c>
      <c r="L301" t="s">
        <v>1489</v>
      </c>
    </row>
    <row r="302" spans="1:12" ht="201.6" x14ac:dyDescent="0.3">
      <c r="A302" t="s">
        <v>1490</v>
      </c>
      <c r="B302" t="s">
        <v>1491</v>
      </c>
      <c r="C302" t="s">
        <v>1492</v>
      </c>
      <c r="D302" t="s">
        <v>1493</v>
      </c>
      <c r="E302" t="s">
        <v>1494</v>
      </c>
      <c r="F302" t="b">
        <v>1</v>
      </c>
      <c r="G302" s="1" t="s">
        <v>1495</v>
      </c>
      <c r="H302" s="1">
        <f t="shared" si="4"/>
        <v>6</v>
      </c>
      <c r="I302">
        <v>62</v>
      </c>
      <c r="J302">
        <v>377</v>
      </c>
      <c r="K302">
        <v>44</v>
      </c>
      <c r="L302" t="s">
        <v>1496</v>
      </c>
    </row>
    <row r="303" spans="1:12" x14ac:dyDescent="0.3">
      <c r="A303" t="s">
        <v>1497</v>
      </c>
      <c r="B303" t="s">
        <v>1498</v>
      </c>
      <c r="D303" t="s">
        <v>30</v>
      </c>
      <c r="G303" t="s">
        <v>1499</v>
      </c>
      <c r="H303" s="1">
        <f t="shared" si="4"/>
        <v>13</v>
      </c>
      <c r="I303">
        <v>55</v>
      </c>
      <c r="J303">
        <v>377</v>
      </c>
      <c r="K303">
        <v>56</v>
      </c>
      <c r="L303" t="s">
        <v>1500</v>
      </c>
    </row>
    <row r="304" spans="1:12" ht="158.4" x14ac:dyDescent="0.3">
      <c r="A304" t="s">
        <v>1501</v>
      </c>
      <c r="B304" t="s">
        <v>1502</v>
      </c>
      <c r="C304" t="s">
        <v>589</v>
      </c>
      <c r="D304" t="s">
        <v>13</v>
      </c>
      <c r="G304" s="1" t="s">
        <v>1503</v>
      </c>
      <c r="H304" s="1">
        <f t="shared" si="4"/>
        <v>9</v>
      </c>
      <c r="I304">
        <v>16</v>
      </c>
      <c r="J304">
        <v>377</v>
      </c>
      <c r="K304">
        <v>125</v>
      </c>
      <c r="L304" t="s">
        <v>1504</v>
      </c>
    </row>
    <row r="305" spans="1:12" x14ac:dyDescent="0.3">
      <c r="A305" t="s">
        <v>1505</v>
      </c>
      <c r="B305" t="s">
        <v>1506</v>
      </c>
      <c r="C305" t="s">
        <v>1035</v>
      </c>
      <c r="D305" t="s">
        <v>13</v>
      </c>
      <c r="E305" t="s">
        <v>1507</v>
      </c>
      <c r="G305" t="s">
        <v>1508</v>
      </c>
      <c r="H305" s="1">
        <f t="shared" si="4"/>
        <v>6</v>
      </c>
      <c r="I305">
        <v>212</v>
      </c>
      <c r="J305">
        <v>376</v>
      </c>
      <c r="K305">
        <v>18</v>
      </c>
      <c r="L305" t="s">
        <v>1509</v>
      </c>
    </row>
    <row r="306" spans="1:12" x14ac:dyDescent="0.3">
      <c r="A306" t="s">
        <v>1510</v>
      </c>
      <c r="B306" t="s">
        <v>1511</v>
      </c>
      <c r="C306" t="s">
        <v>1512</v>
      </c>
      <c r="D306" t="s">
        <v>30</v>
      </c>
      <c r="E306" t="s">
        <v>1513</v>
      </c>
      <c r="F306" t="b">
        <v>1</v>
      </c>
      <c r="G306" t="s">
        <v>1514</v>
      </c>
      <c r="H306" s="1">
        <f t="shared" si="4"/>
        <v>3</v>
      </c>
      <c r="I306">
        <v>133</v>
      </c>
      <c r="J306">
        <v>375</v>
      </c>
      <c r="K306">
        <v>50</v>
      </c>
      <c r="L306" t="s">
        <v>1515</v>
      </c>
    </row>
    <row r="307" spans="1:12" x14ac:dyDescent="0.3">
      <c r="A307" t="s">
        <v>1516</v>
      </c>
      <c r="B307" t="s">
        <v>1517</v>
      </c>
      <c r="C307" t="s">
        <v>1518</v>
      </c>
      <c r="D307" t="s">
        <v>13</v>
      </c>
      <c r="H307" s="1">
        <f t="shared" si="4"/>
        <v>1</v>
      </c>
      <c r="I307">
        <v>46</v>
      </c>
      <c r="J307">
        <v>374</v>
      </c>
      <c r="K307">
        <v>6</v>
      </c>
      <c r="L307" t="s">
        <v>1519</v>
      </c>
    </row>
    <row r="308" spans="1:12" x14ac:dyDescent="0.3">
      <c r="A308" t="s">
        <v>1520</v>
      </c>
      <c r="B308" t="s">
        <v>1521</v>
      </c>
      <c r="D308" t="s">
        <v>30</v>
      </c>
      <c r="G308" t="s">
        <v>1522</v>
      </c>
      <c r="H308" s="1">
        <f t="shared" si="4"/>
        <v>6</v>
      </c>
      <c r="I308">
        <v>141</v>
      </c>
      <c r="J308">
        <v>373</v>
      </c>
      <c r="K308">
        <v>18</v>
      </c>
      <c r="L308" t="s">
        <v>1523</v>
      </c>
    </row>
    <row r="309" spans="1:12" x14ac:dyDescent="0.3">
      <c r="A309" t="s">
        <v>1524</v>
      </c>
      <c r="B309" t="s">
        <v>1525</v>
      </c>
      <c r="C309" t="s">
        <v>1526</v>
      </c>
      <c r="D309" t="s">
        <v>30</v>
      </c>
      <c r="E309" t="s">
        <v>1527</v>
      </c>
      <c r="F309" t="b">
        <v>1</v>
      </c>
      <c r="G309" t="s">
        <v>1528</v>
      </c>
      <c r="H309" s="1">
        <f t="shared" si="4"/>
        <v>4</v>
      </c>
      <c r="I309">
        <v>121</v>
      </c>
      <c r="J309">
        <v>373</v>
      </c>
      <c r="K309">
        <v>6</v>
      </c>
      <c r="L309" t="s">
        <v>1529</v>
      </c>
    </row>
    <row r="310" spans="1:12" x14ac:dyDescent="0.3">
      <c r="A310" t="s">
        <v>1530</v>
      </c>
      <c r="B310" t="s">
        <v>1531</v>
      </c>
      <c r="D310" t="s">
        <v>30</v>
      </c>
      <c r="H310" s="1">
        <f t="shared" si="4"/>
        <v>1</v>
      </c>
      <c r="I310">
        <v>40</v>
      </c>
      <c r="J310">
        <v>371</v>
      </c>
      <c r="K310">
        <v>144</v>
      </c>
      <c r="L310" t="s">
        <v>1532</v>
      </c>
    </row>
    <row r="311" spans="1:12" x14ac:dyDescent="0.3">
      <c r="A311" t="s">
        <v>1533</v>
      </c>
      <c r="B311" t="s">
        <v>1534</v>
      </c>
      <c r="C311" t="s">
        <v>1535</v>
      </c>
      <c r="D311" t="s">
        <v>13</v>
      </c>
      <c r="E311" t="s">
        <v>1536</v>
      </c>
      <c r="G311" t="s">
        <v>1537</v>
      </c>
      <c r="H311" s="1">
        <f t="shared" si="4"/>
        <v>25</v>
      </c>
      <c r="I311">
        <v>11</v>
      </c>
      <c r="J311">
        <v>370</v>
      </c>
      <c r="K311">
        <v>7</v>
      </c>
      <c r="L311" t="s">
        <v>1538</v>
      </c>
    </row>
    <row r="312" spans="1:12" x14ac:dyDescent="0.3">
      <c r="A312" t="s">
        <v>1539</v>
      </c>
      <c r="B312" t="s">
        <v>1540</v>
      </c>
      <c r="C312" t="s">
        <v>1541</v>
      </c>
      <c r="D312" t="s">
        <v>30</v>
      </c>
      <c r="E312" t="s">
        <v>1542</v>
      </c>
      <c r="F312" t="b">
        <v>1</v>
      </c>
      <c r="G312" t="s">
        <v>1543</v>
      </c>
      <c r="H312" s="1">
        <f t="shared" si="4"/>
        <v>3</v>
      </c>
      <c r="I312">
        <v>189</v>
      </c>
      <c r="J312">
        <v>370</v>
      </c>
      <c r="K312">
        <v>0</v>
      </c>
      <c r="L312" t="s">
        <v>1544</v>
      </c>
    </row>
    <row r="313" spans="1:12" x14ac:dyDescent="0.3">
      <c r="A313" t="s">
        <v>1545</v>
      </c>
      <c r="B313" t="s">
        <v>1546</v>
      </c>
      <c r="C313" t="s">
        <v>29</v>
      </c>
      <c r="D313" t="s">
        <v>13</v>
      </c>
      <c r="H313" s="1">
        <f t="shared" si="4"/>
        <v>1</v>
      </c>
      <c r="I313">
        <v>83</v>
      </c>
      <c r="J313">
        <v>370</v>
      </c>
      <c r="K313">
        <v>33</v>
      </c>
      <c r="L313" t="s">
        <v>1547</v>
      </c>
    </row>
    <row r="314" spans="1:12" x14ac:dyDescent="0.3">
      <c r="A314" t="s">
        <v>1548</v>
      </c>
      <c r="B314" t="s">
        <v>1549</v>
      </c>
      <c r="C314" t="s">
        <v>1550</v>
      </c>
      <c r="D314" t="s">
        <v>13</v>
      </c>
      <c r="E314" t="s">
        <v>1551</v>
      </c>
      <c r="H314" s="1">
        <f t="shared" si="4"/>
        <v>1</v>
      </c>
      <c r="I314">
        <v>94</v>
      </c>
      <c r="J314">
        <v>369</v>
      </c>
      <c r="K314">
        <v>30</v>
      </c>
      <c r="L314" t="s">
        <v>1552</v>
      </c>
    </row>
    <row r="315" spans="1:12" x14ac:dyDescent="0.3">
      <c r="A315" t="s">
        <v>1553</v>
      </c>
      <c r="B315" t="s">
        <v>1554</v>
      </c>
      <c r="C315" t="s">
        <v>1555</v>
      </c>
      <c r="D315" t="s">
        <v>13</v>
      </c>
      <c r="F315" t="b">
        <v>1</v>
      </c>
      <c r="G315" t="s">
        <v>1556</v>
      </c>
      <c r="H315" s="1">
        <f t="shared" si="4"/>
        <v>17</v>
      </c>
      <c r="I315">
        <v>190</v>
      </c>
      <c r="J315">
        <v>369</v>
      </c>
      <c r="K315">
        <v>43</v>
      </c>
      <c r="L315" t="s">
        <v>1557</v>
      </c>
    </row>
    <row r="316" spans="1:12" x14ac:dyDescent="0.3">
      <c r="A316" t="s">
        <v>1558</v>
      </c>
      <c r="B316" t="s">
        <v>1559</v>
      </c>
      <c r="C316" t="s">
        <v>110</v>
      </c>
      <c r="D316" t="s">
        <v>30</v>
      </c>
      <c r="E316" t="s">
        <v>1560</v>
      </c>
      <c r="G316" t="s">
        <v>1561</v>
      </c>
      <c r="H316" s="1">
        <f t="shared" si="4"/>
        <v>4</v>
      </c>
      <c r="I316">
        <v>193</v>
      </c>
      <c r="J316">
        <v>367</v>
      </c>
      <c r="K316">
        <v>126</v>
      </c>
      <c r="L316" t="s">
        <v>1562</v>
      </c>
    </row>
    <row r="317" spans="1:12" x14ac:dyDescent="0.3">
      <c r="A317" t="s">
        <v>1563</v>
      </c>
      <c r="B317" t="s">
        <v>1564</v>
      </c>
      <c r="D317" t="s">
        <v>30</v>
      </c>
      <c r="E317" t="s">
        <v>1565</v>
      </c>
      <c r="G317" t="s">
        <v>1566</v>
      </c>
      <c r="H317" s="1">
        <f t="shared" si="4"/>
        <v>1</v>
      </c>
      <c r="I317">
        <v>80</v>
      </c>
      <c r="J317">
        <v>367</v>
      </c>
      <c r="K317">
        <v>47</v>
      </c>
      <c r="L317" t="s">
        <v>1567</v>
      </c>
    </row>
    <row r="318" spans="1:12" x14ac:dyDescent="0.3">
      <c r="A318" t="s">
        <v>1568</v>
      </c>
      <c r="D318" t="s">
        <v>30</v>
      </c>
      <c r="F318" t="b">
        <v>1</v>
      </c>
      <c r="G318" t="s">
        <v>1569</v>
      </c>
      <c r="H318" s="1">
        <f t="shared" si="4"/>
        <v>7</v>
      </c>
      <c r="I318">
        <v>54</v>
      </c>
      <c r="J318">
        <v>367</v>
      </c>
      <c r="K318">
        <v>23</v>
      </c>
      <c r="L318" t="s">
        <v>1570</v>
      </c>
    </row>
    <row r="319" spans="1:12" x14ac:dyDescent="0.3">
      <c r="A319" t="s">
        <v>1571</v>
      </c>
      <c r="B319" t="s">
        <v>1572</v>
      </c>
      <c r="D319" t="s">
        <v>13</v>
      </c>
      <c r="F319" t="b">
        <v>1</v>
      </c>
      <c r="G319" t="s">
        <v>1573</v>
      </c>
      <c r="H319" s="1">
        <f t="shared" si="4"/>
        <v>4</v>
      </c>
      <c r="I319">
        <v>147</v>
      </c>
      <c r="J319">
        <v>365</v>
      </c>
      <c r="K319">
        <v>129</v>
      </c>
      <c r="L319" t="s">
        <v>1574</v>
      </c>
    </row>
    <row r="320" spans="1:12" ht="345.6" x14ac:dyDescent="0.3">
      <c r="A320" t="s">
        <v>1575</v>
      </c>
      <c r="B320" t="s">
        <v>1576</v>
      </c>
      <c r="D320" t="s">
        <v>1577</v>
      </c>
      <c r="E320" t="s">
        <v>1578</v>
      </c>
      <c r="G320" s="1" t="s">
        <v>1579</v>
      </c>
      <c r="H320" s="1">
        <f t="shared" si="4"/>
        <v>17</v>
      </c>
      <c r="I320">
        <v>141</v>
      </c>
      <c r="J320">
        <v>364</v>
      </c>
      <c r="K320">
        <v>64</v>
      </c>
      <c r="L320" t="s">
        <v>1580</v>
      </c>
    </row>
    <row r="321" spans="1:12" ht="172.8" x14ac:dyDescent="0.3">
      <c r="A321" t="s">
        <v>1581</v>
      </c>
      <c r="B321" t="s">
        <v>1582</v>
      </c>
      <c r="D321" t="s">
        <v>310</v>
      </c>
      <c r="F321" t="b">
        <v>1</v>
      </c>
      <c r="G321" s="1" t="s">
        <v>1583</v>
      </c>
      <c r="H321" s="1">
        <f t="shared" si="4"/>
        <v>5</v>
      </c>
      <c r="I321">
        <v>157</v>
      </c>
      <c r="J321">
        <v>363</v>
      </c>
      <c r="K321">
        <v>182</v>
      </c>
      <c r="L321" t="s">
        <v>1584</v>
      </c>
    </row>
    <row r="322" spans="1:12" x14ac:dyDescent="0.3">
      <c r="A322" t="s">
        <v>1585</v>
      </c>
      <c r="B322" t="s">
        <v>1586</v>
      </c>
      <c r="C322" t="s">
        <v>1035</v>
      </c>
      <c r="D322" t="s">
        <v>30</v>
      </c>
      <c r="E322" t="s">
        <v>1587</v>
      </c>
      <c r="G322" t="s">
        <v>1588</v>
      </c>
      <c r="H322" s="1">
        <f t="shared" si="4"/>
        <v>14</v>
      </c>
      <c r="I322">
        <v>105</v>
      </c>
      <c r="J322">
        <v>362</v>
      </c>
      <c r="K322">
        <v>46</v>
      </c>
      <c r="L322" t="s">
        <v>1589</v>
      </c>
    </row>
    <row r="323" spans="1:12" x14ac:dyDescent="0.3">
      <c r="A323" t="s">
        <v>1590</v>
      </c>
      <c r="B323" t="s">
        <v>1591</v>
      </c>
      <c r="D323" t="s">
        <v>1592</v>
      </c>
      <c r="G323" t="s">
        <v>1593</v>
      </c>
      <c r="H323" s="1">
        <f t="shared" ref="H323:H386" si="5">LEN(TRIM(G323))-LEN(SUBSTITUTE(TRIM(G323)," ",""))+1</f>
        <v>4</v>
      </c>
      <c r="I323">
        <v>146</v>
      </c>
      <c r="J323">
        <v>362</v>
      </c>
      <c r="K323">
        <v>0</v>
      </c>
      <c r="L323" t="s">
        <v>1594</v>
      </c>
    </row>
    <row r="324" spans="1:12" x14ac:dyDescent="0.3">
      <c r="A324" t="s">
        <v>1595</v>
      </c>
      <c r="C324" t="s">
        <v>1596</v>
      </c>
      <c r="D324" t="s">
        <v>30</v>
      </c>
      <c r="H324" s="1">
        <f t="shared" si="5"/>
        <v>1</v>
      </c>
      <c r="I324">
        <v>14</v>
      </c>
      <c r="J324">
        <v>362</v>
      </c>
      <c r="K324">
        <v>0</v>
      </c>
      <c r="L324" t="s">
        <v>1597</v>
      </c>
    </row>
    <row r="325" spans="1:12" x14ac:dyDescent="0.3">
      <c r="A325" t="s">
        <v>1598</v>
      </c>
      <c r="B325" t="s">
        <v>1599</v>
      </c>
      <c r="C325" t="s">
        <v>1600</v>
      </c>
      <c r="D325" t="s">
        <v>13</v>
      </c>
      <c r="E325" t="s">
        <v>1601</v>
      </c>
      <c r="G325" t="s">
        <v>1602</v>
      </c>
      <c r="H325" s="1">
        <f t="shared" si="5"/>
        <v>1</v>
      </c>
      <c r="I325">
        <v>64</v>
      </c>
      <c r="J325">
        <v>361</v>
      </c>
      <c r="K325">
        <v>64</v>
      </c>
      <c r="L325" t="s">
        <v>1603</v>
      </c>
    </row>
    <row r="326" spans="1:12" x14ac:dyDescent="0.3">
      <c r="A326" t="s">
        <v>1604</v>
      </c>
      <c r="B326" t="s">
        <v>1605</v>
      </c>
      <c r="C326" t="s">
        <v>1606</v>
      </c>
      <c r="D326" t="s">
        <v>30</v>
      </c>
      <c r="F326" t="b">
        <v>1</v>
      </c>
      <c r="H326" s="1">
        <f t="shared" si="5"/>
        <v>1</v>
      </c>
      <c r="I326">
        <v>166</v>
      </c>
      <c r="J326">
        <v>361</v>
      </c>
      <c r="K326">
        <v>61</v>
      </c>
      <c r="L326" t="s">
        <v>1607</v>
      </c>
    </row>
    <row r="327" spans="1:12" x14ac:dyDescent="0.3">
      <c r="A327" t="s">
        <v>1608</v>
      </c>
      <c r="B327" t="s">
        <v>1609</v>
      </c>
      <c r="C327" t="s">
        <v>1610</v>
      </c>
      <c r="D327" t="s">
        <v>13</v>
      </c>
      <c r="H327" s="1">
        <f t="shared" si="5"/>
        <v>1</v>
      </c>
      <c r="I327">
        <v>42</v>
      </c>
      <c r="J327">
        <v>361</v>
      </c>
      <c r="K327">
        <v>2</v>
      </c>
      <c r="L327" t="s">
        <v>1611</v>
      </c>
    </row>
    <row r="328" spans="1:12" x14ac:dyDescent="0.3">
      <c r="A328" t="s">
        <v>1612</v>
      </c>
      <c r="B328" t="s">
        <v>1613</v>
      </c>
      <c r="C328" t="s">
        <v>1614</v>
      </c>
      <c r="D328" t="s">
        <v>1615</v>
      </c>
      <c r="F328" t="b">
        <v>1</v>
      </c>
      <c r="H328" s="1">
        <f t="shared" si="5"/>
        <v>1</v>
      </c>
      <c r="I328">
        <v>13</v>
      </c>
      <c r="J328">
        <v>358</v>
      </c>
      <c r="K328">
        <v>210</v>
      </c>
      <c r="L328" t="s">
        <v>1616</v>
      </c>
    </row>
    <row r="329" spans="1:12" x14ac:dyDescent="0.3">
      <c r="A329" t="s">
        <v>1617</v>
      </c>
      <c r="B329" t="s">
        <v>1618</v>
      </c>
      <c r="C329" t="s">
        <v>613</v>
      </c>
      <c r="D329" t="s">
        <v>13</v>
      </c>
      <c r="E329" t="s">
        <v>1619</v>
      </c>
      <c r="F329" t="b">
        <v>1</v>
      </c>
      <c r="H329" s="1">
        <f t="shared" si="5"/>
        <v>1</v>
      </c>
      <c r="I329">
        <v>89</v>
      </c>
      <c r="J329">
        <v>357</v>
      </c>
      <c r="K329">
        <v>212</v>
      </c>
      <c r="L329" t="s">
        <v>1620</v>
      </c>
    </row>
    <row r="330" spans="1:12" x14ac:dyDescent="0.3">
      <c r="A330" t="s">
        <v>1621</v>
      </c>
      <c r="B330" t="s">
        <v>1622</v>
      </c>
      <c r="D330" t="s">
        <v>30</v>
      </c>
      <c r="F330" t="b">
        <v>1</v>
      </c>
      <c r="G330" t="s">
        <v>1623</v>
      </c>
      <c r="H330" s="1">
        <f t="shared" si="5"/>
        <v>7</v>
      </c>
      <c r="I330">
        <v>78</v>
      </c>
      <c r="J330">
        <v>357</v>
      </c>
      <c r="K330">
        <v>16</v>
      </c>
      <c r="L330" t="s">
        <v>1624</v>
      </c>
    </row>
    <row r="331" spans="1:12" x14ac:dyDescent="0.3">
      <c r="A331" t="s">
        <v>1625</v>
      </c>
      <c r="B331" t="s">
        <v>1626</v>
      </c>
      <c r="C331" t="s">
        <v>1627</v>
      </c>
      <c r="D331" t="s">
        <v>13</v>
      </c>
      <c r="F331" t="b">
        <v>1</v>
      </c>
      <c r="G331" t="s">
        <v>1628</v>
      </c>
      <c r="H331" s="1">
        <f t="shared" si="5"/>
        <v>8</v>
      </c>
      <c r="I331">
        <v>96</v>
      </c>
      <c r="J331">
        <v>357</v>
      </c>
      <c r="K331">
        <v>17</v>
      </c>
      <c r="L331" t="s">
        <v>1629</v>
      </c>
    </row>
    <row r="332" spans="1:12" x14ac:dyDescent="0.3">
      <c r="A332" t="s">
        <v>1630</v>
      </c>
      <c r="B332" t="s">
        <v>1631</v>
      </c>
      <c r="D332" t="s">
        <v>30</v>
      </c>
      <c r="G332" t="s">
        <v>1632</v>
      </c>
      <c r="H332" s="1">
        <f t="shared" si="5"/>
        <v>13</v>
      </c>
      <c r="I332">
        <v>117</v>
      </c>
      <c r="J332">
        <v>356</v>
      </c>
      <c r="K332">
        <v>20</v>
      </c>
      <c r="L332" t="s">
        <v>1633</v>
      </c>
    </row>
    <row r="333" spans="1:12" x14ac:dyDescent="0.3">
      <c r="A333" t="s">
        <v>1634</v>
      </c>
      <c r="B333" t="s">
        <v>1635</v>
      </c>
      <c r="D333" t="s">
        <v>13</v>
      </c>
      <c r="E333" t="s">
        <v>1636</v>
      </c>
      <c r="H333" s="1">
        <f t="shared" si="5"/>
        <v>1</v>
      </c>
      <c r="I333">
        <v>79</v>
      </c>
      <c r="J333">
        <v>356</v>
      </c>
      <c r="K333">
        <v>48</v>
      </c>
      <c r="L333" t="s">
        <v>1637</v>
      </c>
    </row>
    <row r="334" spans="1:12" x14ac:dyDescent="0.3">
      <c r="A334" t="s">
        <v>1638</v>
      </c>
      <c r="B334" t="s">
        <v>1639</v>
      </c>
      <c r="C334" t="s">
        <v>275</v>
      </c>
      <c r="D334" t="s">
        <v>13</v>
      </c>
      <c r="E334" t="s">
        <v>1640</v>
      </c>
      <c r="F334" t="b">
        <v>1</v>
      </c>
      <c r="G334" t="s">
        <v>1641</v>
      </c>
      <c r="H334" s="1">
        <f t="shared" si="5"/>
        <v>12</v>
      </c>
      <c r="I334">
        <v>108</v>
      </c>
      <c r="J334">
        <v>356</v>
      </c>
      <c r="K334">
        <v>10</v>
      </c>
      <c r="L334" t="s">
        <v>1642</v>
      </c>
    </row>
    <row r="335" spans="1:12" x14ac:dyDescent="0.3">
      <c r="A335" t="s">
        <v>1643</v>
      </c>
      <c r="B335" t="s">
        <v>1644</v>
      </c>
      <c r="D335" t="s">
        <v>13</v>
      </c>
      <c r="H335" s="1">
        <f t="shared" si="5"/>
        <v>1</v>
      </c>
      <c r="I335">
        <v>57</v>
      </c>
      <c r="J335">
        <v>355</v>
      </c>
      <c r="K335">
        <v>0</v>
      </c>
      <c r="L335" t="s">
        <v>1645</v>
      </c>
    </row>
    <row r="336" spans="1:12" x14ac:dyDescent="0.3">
      <c r="A336" t="s">
        <v>1646</v>
      </c>
      <c r="B336" t="s">
        <v>1647</v>
      </c>
      <c r="C336" t="s">
        <v>1648</v>
      </c>
      <c r="D336" t="s">
        <v>13</v>
      </c>
      <c r="F336" t="b">
        <v>1</v>
      </c>
      <c r="G336" t="s">
        <v>1649</v>
      </c>
      <c r="H336" s="1">
        <f t="shared" si="5"/>
        <v>23</v>
      </c>
      <c r="I336">
        <v>29</v>
      </c>
      <c r="J336">
        <v>353</v>
      </c>
      <c r="K336">
        <v>31</v>
      </c>
      <c r="L336" t="s">
        <v>1650</v>
      </c>
    </row>
    <row r="337" spans="1:12" x14ac:dyDescent="0.3">
      <c r="A337" t="s">
        <v>1651</v>
      </c>
      <c r="B337" t="s">
        <v>1652</v>
      </c>
      <c r="C337" t="s">
        <v>1653</v>
      </c>
      <c r="D337" t="s">
        <v>13</v>
      </c>
      <c r="E337" t="s">
        <v>1654</v>
      </c>
      <c r="F337" t="b">
        <v>1</v>
      </c>
      <c r="G337" t="s">
        <v>1655</v>
      </c>
      <c r="H337" s="1">
        <f t="shared" si="5"/>
        <v>3</v>
      </c>
      <c r="I337">
        <v>76</v>
      </c>
      <c r="J337">
        <v>353</v>
      </c>
      <c r="K337">
        <v>68</v>
      </c>
      <c r="L337" t="s">
        <v>1656</v>
      </c>
    </row>
    <row r="338" spans="1:12" x14ac:dyDescent="0.3">
      <c r="A338" t="s">
        <v>1657</v>
      </c>
      <c r="B338" t="s">
        <v>1658</v>
      </c>
      <c r="D338" t="s">
        <v>30</v>
      </c>
      <c r="F338" t="b">
        <v>1</v>
      </c>
      <c r="H338" s="1">
        <f t="shared" si="5"/>
        <v>1</v>
      </c>
      <c r="I338">
        <v>132</v>
      </c>
      <c r="J338">
        <v>352</v>
      </c>
      <c r="K338">
        <v>10</v>
      </c>
      <c r="L338" t="s">
        <v>1659</v>
      </c>
    </row>
    <row r="339" spans="1:12" x14ac:dyDescent="0.3">
      <c r="A339" t="s">
        <v>1660</v>
      </c>
      <c r="B339" t="s">
        <v>1661</v>
      </c>
      <c r="C339" t="s">
        <v>1035</v>
      </c>
      <c r="D339" t="s">
        <v>30</v>
      </c>
      <c r="H339" s="1">
        <f t="shared" si="5"/>
        <v>1</v>
      </c>
      <c r="I339">
        <v>99</v>
      </c>
      <c r="J339">
        <v>352</v>
      </c>
      <c r="K339">
        <v>5</v>
      </c>
      <c r="L339" t="s">
        <v>1662</v>
      </c>
    </row>
    <row r="340" spans="1:12" x14ac:dyDescent="0.3">
      <c r="A340" t="s">
        <v>1663</v>
      </c>
      <c r="B340" t="s">
        <v>1664</v>
      </c>
      <c r="C340" t="s">
        <v>1665</v>
      </c>
      <c r="D340" t="s">
        <v>13</v>
      </c>
      <c r="E340" t="s">
        <v>1666</v>
      </c>
      <c r="G340" t="s">
        <v>1667</v>
      </c>
      <c r="H340" s="1">
        <f t="shared" si="5"/>
        <v>15</v>
      </c>
      <c r="I340">
        <v>36</v>
      </c>
      <c r="J340">
        <v>351</v>
      </c>
      <c r="K340">
        <v>78</v>
      </c>
      <c r="L340" t="s">
        <v>1668</v>
      </c>
    </row>
    <row r="341" spans="1:12" x14ac:dyDescent="0.3">
      <c r="A341" t="s">
        <v>1669</v>
      </c>
      <c r="B341" t="s">
        <v>1670</v>
      </c>
      <c r="D341" t="s">
        <v>30</v>
      </c>
      <c r="F341" t="b">
        <v>1</v>
      </c>
      <c r="H341" s="1">
        <f t="shared" si="5"/>
        <v>1</v>
      </c>
      <c r="I341">
        <v>41</v>
      </c>
      <c r="J341">
        <v>351</v>
      </c>
      <c r="K341">
        <v>0</v>
      </c>
      <c r="L341" t="s">
        <v>1671</v>
      </c>
    </row>
    <row r="342" spans="1:12" x14ac:dyDescent="0.3">
      <c r="A342" t="s">
        <v>1672</v>
      </c>
      <c r="B342" t="s">
        <v>1673</v>
      </c>
      <c r="C342" t="s">
        <v>1674</v>
      </c>
      <c r="D342" t="s">
        <v>13</v>
      </c>
      <c r="E342" t="s">
        <v>1675</v>
      </c>
      <c r="G342" t="s">
        <v>1676</v>
      </c>
      <c r="H342" s="1">
        <f t="shared" si="5"/>
        <v>6</v>
      </c>
      <c r="I342">
        <v>161</v>
      </c>
      <c r="J342">
        <v>350</v>
      </c>
      <c r="K342">
        <v>155</v>
      </c>
      <c r="L342" t="s">
        <v>1677</v>
      </c>
    </row>
    <row r="343" spans="1:12" x14ac:dyDescent="0.3">
      <c r="A343" t="s">
        <v>1678</v>
      </c>
      <c r="B343" t="s">
        <v>1679</v>
      </c>
      <c r="D343" t="s">
        <v>30</v>
      </c>
      <c r="E343" t="s">
        <v>1680</v>
      </c>
      <c r="F343" t="b">
        <v>1</v>
      </c>
      <c r="G343" t="s">
        <v>1681</v>
      </c>
      <c r="H343" s="1">
        <f t="shared" si="5"/>
        <v>2</v>
      </c>
      <c r="I343">
        <v>121</v>
      </c>
      <c r="J343">
        <v>350</v>
      </c>
      <c r="K343">
        <v>120</v>
      </c>
      <c r="L343" t="s">
        <v>1682</v>
      </c>
    </row>
    <row r="344" spans="1:12" x14ac:dyDescent="0.3">
      <c r="A344" t="s">
        <v>1683</v>
      </c>
      <c r="B344" t="s">
        <v>1684</v>
      </c>
      <c r="C344" t="s">
        <v>1447</v>
      </c>
      <c r="D344" t="s">
        <v>13</v>
      </c>
      <c r="F344" t="b">
        <v>1</v>
      </c>
      <c r="G344" t="s">
        <v>1685</v>
      </c>
      <c r="H344" s="1">
        <f t="shared" si="5"/>
        <v>6</v>
      </c>
      <c r="I344">
        <v>135</v>
      </c>
      <c r="J344">
        <v>347</v>
      </c>
      <c r="K344">
        <v>10</v>
      </c>
      <c r="L344" t="s">
        <v>1686</v>
      </c>
    </row>
    <row r="345" spans="1:12" x14ac:dyDescent="0.3">
      <c r="A345" t="s">
        <v>1687</v>
      </c>
      <c r="B345" t="s">
        <v>1688</v>
      </c>
      <c r="C345" t="s">
        <v>1689</v>
      </c>
      <c r="D345" t="s">
        <v>13</v>
      </c>
      <c r="E345" t="s">
        <v>1690</v>
      </c>
      <c r="H345" s="1">
        <f t="shared" si="5"/>
        <v>1</v>
      </c>
      <c r="I345">
        <v>133</v>
      </c>
      <c r="J345">
        <v>345</v>
      </c>
      <c r="K345">
        <v>185</v>
      </c>
      <c r="L345" t="s">
        <v>1691</v>
      </c>
    </row>
    <row r="346" spans="1:12" x14ac:dyDescent="0.3">
      <c r="A346" t="s">
        <v>1692</v>
      </c>
      <c r="B346" t="s">
        <v>1693</v>
      </c>
      <c r="D346" t="s">
        <v>13</v>
      </c>
      <c r="E346" t="s">
        <v>1694</v>
      </c>
      <c r="G346" t="s">
        <v>1695</v>
      </c>
      <c r="H346" s="1">
        <f t="shared" si="5"/>
        <v>1</v>
      </c>
      <c r="I346">
        <v>19</v>
      </c>
      <c r="J346">
        <v>345</v>
      </c>
      <c r="K346">
        <v>70</v>
      </c>
      <c r="L346" t="s">
        <v>1696</v>
      </c>
    </row>
    <row r="347" spans="1:12" x14ac:dyDescent="0.3">
      <c r="A347" t="s">
        <v>1697</v>
      </c>
      <c r="B347" t="s">
        <v>1698</v>
      </c>
      <c r="D347" t="s">
        <v>30</v>
      </c>
      <c r="E347" t="s">
        <v>1699</v>
      </c>
      <c r="H347" s="1">
        <f t="shared" si="5"/>
        <v>1</v>
      </c>
      <c r="I347">
        <v>251</v>
      </c>
      <c r="J347">
        <v>344</v>
      </c>
      <c r="K347">
        <v>47</v>
      </c>
      <c r="L347" t="s">
        <v>1700</v>
      </c>
    </row>
    <row r="348" spans="1:12" x14ac:dyDescent="0.3">
      <c r="A348" t="s">
        <v>1701</v>
      </c>
      <c r="B348" t="s">
        <v>1702</v>
      </c>
      <c r="C348" t="s">
        <v>1703</v>
      </c>
      <c r="D348" t="s">
        <v>310</v>
      </c>
      <c r="H348" s="1">
        <f t="shared" si="5"/>
        <v>1</v>
      </c>
      <c r="I348">
        <v>185</v>
      </c>
      <c r="J348">
        <v>342</v>
      </c>
      <c r="K348">
        <v>5</v>
      </c>
      <c r="L348" t="s">
        <v>1704</v>
      </c>
    </row>
    <row r="349" spans="1:12" x14ac:dyDescent="0.3">
      <c r="A349" t="s">
        <v>1705</v>
      </c>
      <c r="B349" t="s">
        <v>1706</v>
      </c>
      <c r="D349" t="s">
        <v>13</v>
      </c>
      <c r="E349" t="s">
        <v>1707</v>
      </c>
      <c r="G349" t="s">
        <v>1708</v>
      </c>
      <c r="H349" s="1">
        <f t="shared" si="5"/>
        <v>31</v>
      </c>
      <c r="I349">
        <v>105</v>
      </c>
      <c r="J349">
        <v>342</v>
      </c>
      <c r="K349">
        <v>23</v>
      </c>
      <c r="L349" t="s">
        <v>1709</v>
      </c>
    </row>
    <row r="350" spans="1:12" ht="302.39999999999998" x14ac:dyDescent="0.3">
      <c r="A350" t="s">
        <v>1710</v>
      </c>
      <c r="B350" t="s">
        <v>1711</v>
      </c>
      <c r="C350" t="s">
        <v>1712</v>
      </c>
      <c r="D350" t="s">
        <v>13</v>
      </c>
      <c r="E350" t="s">
        <v>1713</v>
      </c>
      <c r="F350" t="b">
        <v>1</v>
      </c>
      <c r="G350" s="1" t="s">
        <v>1714</v>
      </c>
      <c r="H350" s="1">
        <f t="shared" si="5"/>
        <v>20</v>
      </c>
      <c r="I350">
        <v>134</v>
      </c>
      <c r="J350">
        <v>341</v>
      </c>
      <c r="K350">
        <v>92</v>
      </c>
      <c r="L350" t="s">
        <v>1715</v>
      </c>
    </row>
    <row r="351" spans="1:12" x14ac:dyDescent="0.3">
      <c r="A351" t="s">
        <v>1716</v>
      </c>
      <c r="B351" t="s">
        <v>1717</v>
      </c>
      <c r="D351" t="s">
        <v>1718</v>
      </c>
      <c r="G351" t="s">
        <v>1719</v>
      </c>
      <c r="H351" s="1">
        <f t="shared" si="5"/>
        <v>22</v>
      </c>
      <c r="I351">
        <v>55</v>
      </c>
      <c r="J351">
        <v>341</v>
      </c>
      <c r="K351">
        <v>0</v>
      </c>
      <c r="L351" t="s">
        <v>1720</v>
      </c>
    </row>
    <row r="352" spans="1:12" x14ac:dyDescent="0.3">
      <c r="A352" t="s">
        <v>1721</v>
      </c>
      <c r="B352" t="s">
        <v>1722</v>
      </c>
      <c r="D352" t="s">
        <v>13</v>
      </c>
      <c r="F352" t="b">
        <v>1</v>
      </c>
      <c r="G352" t="s">
        <v>1723</v>
      </c>
      <c r="H352" s="1">
        <f t="shared" si="5"/>
        <v>25</v>
      </c>
      <c r="I352">
        <v>122</v>
      </c>
      <c r="J352">
        <v>340</v>
      </c>
      <c r="K352">
        <v>44</v>
      </c>
      <c r="L352" t="s">
        <v>1724</v>
      </c>
    </row>
    <row r="353" spans="1:12" x14ac:dyDescent="0.3">
      <c r="A353" t="s">
        <v>1725</v>
      </c>
      <c r="B353" t="s">
        <v>1726</v>
      </c>
      <c r="C353" t="s">
        <v>1727</v>
      </c>
      <c r="D353" t="s">
        <v>1728</v>
      </c>
      <c r="E353" t="s">
        <v>1729</v>
      </c>
      <c r="G353" t="s">
        <v>1730</v>
      </c>
      <c r="H353" s="1">
        <f t="shared" si="5"/>
        <v>4</v>
      </c>
      <c r="I353">
        <v>42</v>
      </c>
      <c r="J353">
        <v>338</v>
      </c>
      <c r="K353">
        <v>7</v>
      </c>
      <c r="L353" t="s">
        <v>1731</v>
      </c>
    </row>
    <row r="354" spans="1:12" x14ac:dyDescent="0.3">
      <c r="A354" t="s">
        <v>1732</v>
      </c>
      <c r="B354" t="s">
        <v>1733</v>
      </c>
      <c r="D354" t="s">
        <v>13</v>
      </c>
      <c r="G354" t="s">
        <v>1734</v>
      </c>
      <c r="H354" s="1">
        <f t="shared" si="5"/>
        <v>20</v>
      </c>
      <c r="I354">
        <v>149</v>
      </c>
      <c r="J354">
        <v>338</v>
      </c>
      <c r="K354">
        <v>54</v>
      </c>
      <c r="L354" t="s">
        <v>1735</v>
      </c>
    </row>
    <row r="355" spans="1:12" x14ac:dyDescent="0.3">
      <c r="A355" t="s">
        <v>1736</v>
      </c>
      <c r="B355" t="s">
        <v>235</v>
      </c>
      <c r="C355" t="s">
        <v>93</v>
      </c>
      <c r="D355" t="s">
        <v>13</v>
      </c>
      <c r="E355" t="s">
        <v>1737</v>
      </c>
      <c r="G355" t="s">
        <v>1738</v>
      </c>
      <c r="H355" s="1">
        <f t="shared" si="5"/>
        <v>5</v>
      </c>
      <c r="I355">
        <v>19</v>
      </c>
      <c r="J355">
        <v>338</v>
      </c>
      <c r="K355">
        <v>1</v>
      </c>
      <c r="L355" t="s">
        <v>1739</v>
      </c>
    </row>
    <row r="356" spans="1:12" x14ac:dyDescent="0.3">
      <c r="A356" t="s">
        <v>1740</v>
      </c>
      <c r="B356" t="s">
        <v>1741</v>
      </c>
      <c r="D356" t="s">
        <v>30</v>
      </c>
      <c r="E356" t="s">
        <v>1742</v>
      </c>
      <c r="H356" s="1">
        <f t="shared" si="5"/>
        <v>1</v>
      </c>
      <c r="I356">
        <v>12</v>
      </c>
      <c r="J356">
        <v>337</v>
      </c>
      <c r="K356">
        <v>7</v>
      </c>
      <c r="L356" t="s">
        <v>1743</v>
      </c>
    </row>
    <row r="357" spans="1:12" x14ac:dyDescent="0.3">
      <c r="A357" t="s">
        <v>1744</v>
      </c>
      <c r="B357" t="s">
        <v>1745</v>
      </c>
      <c r="D357" t="s">
        <v>30</v>
      </c>
      <c r="E357" t="s">
        <v>1746</v>
      </c>
      <c r="H357" s="1">
        <f t="shared" si="5"/>
        <v>1</v>
      </c>
      <c r="I357">
        <v>157</v>
      </c>
      <c r="J357">
        <v>336</v>
      </c>
      <c r="K357">
        <v>65</v>
      </c>
      <c r="L357" t="s">
        <v>1747</v>
      </c>
    </row>
    <row r="358" spans="1:12" x14ac:dyDescent="0.3">
      <c r="A358" t="s">
        <v>1748</v>
      </c>
      <c r="B358" t="s">
        <v>1749</v>
      </c>
      <c r="D358" t="s">
        <v>13</v>
      </c>
      <c r="E358" t="s">
        <v>1750</v>
      </c>
      <c r="H358" s="1">
        <f t="shared" si="5"/>
        <v>1</v>
      </c>
      <c r="I358">
        <v>33</v>
      </c>
      <c r="J358">
        <v>335</v>
      </c>
      <c r="K358">
        <v>12</v>
      </c>
      <c r="L358" t="s">
        <v>1751</v>
      </c>
    </row>
    <row r="359" spans="1:12" x14ac:dyDescent="0.3">
      <c r="A359" t="s">
        <v>1752</v>
      </c>
      <c r="B359" t="s">
        <v>1753</v>
      </c>
      <c r="C359" t="s">
        <v>1754</v>
      </c>
      <c r="D359" t="s">
        <v>30</v>
      </c>
      <c r="H359" s="1">
        <f t="shared" si="5"/>
        <v>1</v>
      </c>
      <c r="I359">
        <v>204</v>
      </c>
      <c r="J359">
        <v>333</v>
      </c>
      <c r="K359">
        <v>16</v>
      </c>
      <c r="L359" t="s">
        <v>1755</v>
      </c>
    </row>
    <row r="360" spans="1:12" x14ac:dyDescent="0.3">
      <c r="A360" t="s">
        <v>1756</v>
      </c>
      <c r="B360" t="s">
        <v>1757</v>
      </c>
      <c r="C360" t="s">
        <v>1758</v>
      </c>
      <c r="D360" t="s">
        <v>1759</v>
      </c>
      <c r="E360" t="s">
        <v>1760</v>
      </c>
      <c r="G360" t="s">
        <v>1761</v>
      </c>
      <c r="H360" s="1">
        <f t="shared" si="5"/>
        <v>5</v>
      </c>
      <c r="I360">
        <v>83</v>
      </c>
      <c r="J360">
        <v>333</v>
      </c>
      <c r="K360">
        <v>29</v>
      </c>
      <c r="L360" t="s">
        <v>1762</v>
      </c>
    </row>
    <row r="361" spans="1:12" x14ac:dyDescent="0.3">
      <c r="A361" t="s">
        <v>1763</v>
      </c>
      <c r="C361" t="s">
        <v>1764</v>
      </c>
      <c r="D361" t="s">
        <v>13</v>
      </c>
      <c r="G361" t="s">
        <v>1765</v>
      </c>
      <c r="H361" s="1">
        <f t="shared" si="5"/>
        <v>4</v>
      </c>
      <c r="I361">
        <v>52</v>
      </c>
      <c r="J361">
        <v>332</v>
      </c>
      <c r="K361">
        <v>1</v>
      </c>
      <c r="L361" t="s">
        <v>1766</v>
      </c>
    </row>
    <row r="362" spans="1:12" ht="187.2" x14ac:dyDescent="0.3">
      <c r="A362" t="s">
        <v>1767</v>
      </c>
      <c r="B362" t="s">
        <v>1768</v>
      </c>
      <c r="C362" t="s">
        <v>1769</v>
      </c>
      <c r="D362" t="s">
        <v>30</v>
      </c>
      <c r="G362" s="1" t="s">
        <v>1770</v>
      </c>
      <c r="H362" s="1">
        <f t="shared" si="5"/>
        <v>13</v>
      </c>
      <c r="I362">
        <v>84</v>
      </c>
      <c r="J362">
        <v>331</v>
      </c>
      <c r="K362">
        <v>141</v>
      </c>
      <c r="L362" t="s">
        <v>1771</v>
      </c>
    </row>
    <row r="363" spans="1:12" x14ac:dyDescent="0.3">
      <c r="A363" t="s">
        <v>1772</v>
      </c>
      <c r="B363" t="s">
        <v>1773</v>
      </c>
      <c r="C363" t="s">
        <v>1774</v>
      </c>
      <c r="D363" t="s">
        <v>1222</v>
      </c>
      <c r="E363" t="s">
        <v>1775</v>
      </c>
      <c r="F363" t="b">
        <v>1</v>
      </c>
      <c r="G363" t="s">
        <v>1776</v>
      </c>
      <c r="H363" s="1">
        <f t="shared" si="5"/>
        <v>5</v>
      </c>
      <c r="I363">
        <v>186</v>
      </c>
      <c r="J363">
        <v>329</v>
      </c>
      <c r="K363">
        <v>115</v>
      </c>
      <c r="L363" t="s">
        <v>1777</v>
      </c>
    </row>
    <row r="364" spans="1:12" x14ac:dyDescent="0.3">
      <c r="A364" t="s">
        <v>1778</v>
      </c>
      <c r="B364" t="s">
        <v>1779</v>
      </c>
      <c r="C364" t="s">
        <v>1780</v>
      </c>
      <c r="D364" t="s">
        <v>30</v>
      </c>
      <c r="E364" t="s">
        <v>1781</v>
      </c>
      <c r="F364" t="b">
        <v>1</v>
      </c>
      <c r="G364" t="s">
        <v>1782</v>
      </c>
      <c r="H364" s="1">
        <f t="shared" si="5"/>
        <v>9</v>
      </c>
      <c r="I364">
        <v>61</v>
      </c>
      <c r="J364">
        <v>329</v>
      </c>
      <c r="K364">
        <v>136</v>
      </c>
      <c r="L364" t="s">
        <v>1783</v>
      </c>
    </row>
    <row r="365" spans="1:12" x14ac:dyDescent="0.3">
      <c r="A365" t="s">
        <v>1784</v>
      </c>
      <c r="B365" t="s">
        <v>1785</v>
      </c>
      <c r="C365" t="s">
        <v>1786</v>
      </c>
      <c r="D365" t="s">
        <v>13</v>
      </c>
      <c r="G365" t="s">
        <v>1787</v>
      </c>
      <c r="H365" s="1">
        <f t="shared" si="5"/>
        <v>8</v>
      </c>
      <c r="I365">
        <v>146</v>
      </c>
      <c r="J365">
        <v>327</v>
      </c>
      <c r="K365">
        <v>270</v>
      </c>
      <c r="L365" t="s">
        <v>1788</v>
      </c>
    </row>
    <row r="366" spans="1:12" x14ac:dyDescent="0.3">
      <c r="A366" t="s">
        <v>1789</v>
      </c>
      <c r="B366" t="s">
        <v>1790</v>
      </c>
      <c r="C366" t="s">
        <v>110</v>
      </c>
      <c r="D366" t="s">
        <v>13</v>
      </c>
      <c r="G366" t="s">
        <v>1791</v>
      </c>
      <c r="H366" s="1">
        <f t="shared" si="5"/>
        <v>2</v>
      </c>
      <c r="I366">
        <v>62</v>
      </c>
      <c r="J366">
        <v>326</v>
      </c>
      <c r="K366">
        <v>35</v>
      </c>
      <c r="L366" t="s">
        <v>1792</v>
      </c>
    </row>
    <row r="367" spans="1:12" x14ac:dyDescent="0.3">
      <c r="A367" t="s">
        <v>1793</v>
      </c>
      <c r="B367" t="s">
        <v>1794</v>
      </c>
      <c r="D367" t="s">
        <v>13</v>
      </c>
      <c r="F367" t="b">
        <v>1</v>
      </c>
      <c r="H367" s="1">
        <f t="shared" si="5"/>
        <v>1</v>
      </c>
      <c r="I367">
        <v>57</v>
      </c>
      <c r="J367">
        <v>326</v>
      </c>
      <c r="K367">
        <v>8</v>
      </c>
      <c r="L367" t="s">
        <v>1795</v>
      </c>
    </row>
    <row r="368" spans="1:12" x14ac:dyDescent="0.3">
      <c r="A368" t="s">
        <v>1796</v>
      </c>
      <c r="B368" t="s">
        <v>1797</v>
      </c>
      <c r="C368" t="s">
        <v>646</v>
      </c>
      <c r="D368" t="s">
        <v>30</v>
      </c>
      <c r="E368" t="s">
        <v>1798</v>
      </c>
      <c r="F368" t="b">
        <v>1</v>
      </c>
      <c r="G368" t="s">
        <v>1799</v>
      </c>
      <c r="H368" s="1">
        <f t="shared" si="5"/>
        <v>3</v>
      </c>
      <c r="I368">
        <v>59</v>
      </c>
      <c r="J368">
        <v>326</v>
      </c>
      <c r="K368">
        <v>8</v>
      </c>
      <c r="L368" t="s">
        <v>1800</v>
      </c>
    </row>
    <row r="369" spans="1:12" x14ac:dyDescent="0.3">
      <c r="A369" t="s">
        <v>1801</v>
      </c>
      <c r="B369" t="s">
        <v>1801</v>
      </c>
      <c r="D369" t="s">
        <v>13</v>
      </c>
      <c r="F369" t="b">
        <v>1</v>
      </c>
      <c r="G369" t="s">
        <v>1802</v>
      </c>
      <c r="H369" s="1">
        <f t="shared" si="5"/>
        <v>2</v>
      </c>
      <c r="I369">
        <v>282</v>
      </c>
      <c r="J369">
        <v>326</v>
      </c>
      <c r="K369">
        <v>856</v>
      </c>
      <c r="L369" t="s">
        <v>1803</v>
      </c>
    </row>
    <row r="370" spans="1:12" x14ac:dyDescent="0.3">
      <c r="A370" t="s">
        <v>1804</v>
      </c>
      <c r="B370" t="s">
        <v>1805</v>
      </c>
      <c r="C370" t="s">
        <v>1806</v>
      </c>
      <c r="D370" t="s">
        <v>30</v>
      </c>
      <c r="E370" t="s">
        <v>1807</v>
      </c>
      <c r="G370" t="s">
        <v>1808</v>
      </c>
      <c r="H370" s="1">
        <f t="shared" si="5"/>
        <v>11</v>
      </c>
      <c r="I370">
        <v>26</v>
      </c>
      <c r="J370">
        <v>325</v>
      </c>
      <c r="K370">
        <v>2</v>
      </c>
      <c r="L370" t="s">
        <v>1809</v>
      </c>
    </row>
    <row r="371" spans="1:12" x14ac:dyDescent="0.3">
      <c r="A371" t="s">
        <v>1810</v>
      </c>
      <c r="B371" t="s">
        <v>1811</v>
      </c>
      <c r="C371" t="s">
        <v>1812</v>
      </c>
      <c r="D371" t="s">
        <v>1813</v>
      </c>
      <c r="H371" s="1">
        <f t="shared" si="5"/>
        <v>1</v>
      </c>
      <c r="I371">
        <v>7</v>
      </c>
      <c r="J371">
        <v>325</v>
      </c>
      <c r="K371">
        <v>3</v>
      </c>
      <c r="L371" t="s">
        <v>1814</v>
      </c>
    </row>
    <row r="372" spans="1:12" x14ac:dyDescent="0.3">
      <c r="A372" t="s">
        <v>1815</v>
      </c>
      <c r="B372" t="s">
        <v>1816</v>
      </c>
      <c r="D372" t="s">
        <v>30</v>
      </c>
      <c r="E372" t="s">
        <v>1817</v>
      </c>
      <c r="G372" t="s">
        <v>1818</v>
      </c>
      <c r="H372" s="1">
        <f t="shared" si="5"/>
        <v>2</v>
      </c>
      <c r="I372">
        <v>105</v>
      </c>
      <c r="J372">
        <v>324</v>
      </c>
      <c r="K372">
        <v>1123</v>
      </c>
      <c r="L372" t="s">
        <v>1819</v>
      </c>
    </row>
    <row r="373" spans="1:12" x14ac:dyDescent="0.3">
      <c r="A373" t="s">
        <v>1820</v>
      </c>
      <c r="B373" t="s">
        <v>1821</v>
      </c>
      <c r="D373" t="s">
        <v>30</v>
      </c>
      <c r="E373" t="s">
        <v>1822</v>
      </c>
      <c r="H373" s="1">
        <f t="shared" si="5"/>
        <v>1</v>
      </c>
      <c r="I373">
        <v>127</v>
      </c>
      <c r="J373">
        <v>324</v>
      </c>
      <c r="K373">
        <v>210</v>
      </c>
      <c r="L373" t="s">
        <v>1823</v>
      </c>
    </row>
    <row r="374" spans="1:12" x14ac:dyDescent="0.3">
      <c r="A374" t="s">
        <v>1824</v>
      </c>
      <c r="B374" t="s">
        <v>1825</v>
      </c>
      <c r="C374" t="s">
        <v>1826</v>
      </c>
      <c r="D374" t="s">
        <v>13</v>
      </c>
      <c r="H374" s="1">
        <f t="shared" si="5"/>
        <v>1</v>
      </c>
      <c r="I374">
        <v>6</v>
      </c>
      <c r="J374">
        <v>324</v>
      </c>
      <c r="K374">
        <v>26</v>
      </c>
      <c r="L374" t="s">
        <v>1827</v>
      </c>
    </row>
    <row r="375" spans="1:12" x14ac:dyDescent="0.3">
      <c r="A375" t="s">
        <v>1828</v>
      </c>
      <c r="B375" t="s">
        <v>1829</v>
      </c>
      <c r="C375" t="s">
        <v>1830</v>
      </c>
      <c r="D375" t="s">
        <v>30</v>
      </c>
      <c r="G375" t="s">
        <v>1831</v>
      </c>
      <c r="H375" s="1">
        <f t="shared" si="5"/>
        <v>7</v>
      </c>
      <c r="I375">
        <v>33</v>
      </c>
      <c r="J375">
        <v>324</v>
      </c>
      <c r="K375">
        <v>77</v>
      </c>
      <c r="L375" t="s">
        <v>1832</v>
      </c>
    </row>
    <row r="376" spans="1:12" x14ac:dyDescent="0.3">
      <c r="A376" t="s">
        <v>1833</v>
      </c>
      <c r="B376" t="s">
        <v>1834</v>
      </c>
      <c r="C376" t="s">
        <v>664</v>
      </c>
      <c r="D376" t="s">
        <v>13</v>
      </c>
      <c r="E376" t="s">
        <v>1835</v>
      </c>
      <c r="H376" s="1">
        <f t="shared" si="5"/>
        <v>1</v>
      </c>
      <c r="I376">
        <v>75</v>
      </c>
      <c r="J376">
        <v>323</v>
      </c>
      <c r="K376">
        <v>255</v>
      </c>
      <c r="L376" t="s">
        <v>1836</v>
      </c>
    </row>
    <row r="377" spans="1:12" x14ac:dyDescent="0.3">
      <c r="A377" t="s">
        <v>1837</v>
      </c>
      <c r="B377" t="s">
        <v>1838</v>
      </c>
      <c r="C377" t="s">
        <v>1839</v>
      </c>
      <c r="D377" t="s">
        <v>13</v>
      </c>
      <c r="E377" t="s">
        <v>1840</v>
      </c>
      <c r="G377" t="s">
        <v>1841</v>
      </c>
      <c r="H377" s="1">
        <f t="shared" si="5"/>
        <v>6</v>
      </c>
      <c r="I377">
        <v>82</v>
      </c>
      <c r="J377">
        <v>322</v>
      </c>
      <c r="K377">
        <v>2034</v>
      </c>
      <c r="L377" t="s">
        <v>1842</v>
      </c>
    </row>
    <row r="378" spans="1:12" x14ac:dyDescent="0.3">
      <c r="A378" t="s">
        <v>1843</v>
      </c>
      <c r="B378" t="s">
        <v>1844</v>
      </c>
      <c r="D378" t="s">
        <v>30</v>
      </c>
      <c r="E378" t="s">
        <v>1845</v>
      </c>
      <c r="F378" t="b">
        <v>1</v>
      </c>
      <c r="G378" t="s">
        <v>1846</v>
      </c>
      <c r="H378" s="1">
        <f t="shared" si="5"/>
        <v>4</v>
      </c>
      <c r="I378">
        <v>58</v>
      </c>
      <c r="J378">
        <v>321</v>
      </c>
      <c r="K378">
        <v>5</v>
      </c>
      <c r="L378" t="s">
        <v>1847</v>
      </c>
    </row>
    <row r="379" spans="1:12" ht="158.4" x14ac:dyDescent="0.3">
      <c r="A379" t="s">
        <v>1848</v>
      </c>
      <c r="B379" t="s">
        <v>1849</v>
      </c>
      <c r="C379" t="s">
        <v>1850</v>
      </c>
      <c r="D379" t="s">
        <v>30</v>
      </c>
      <c r="E379" t="s">
        <v>1851</v>
      </c>
      <c r="F379" t="b">
        <v>1</v>
      </c>
      <c r="G379" s="1" t="s">
        <v>1852</v>
      </c>
      <c r="H379" s="1">
        <f t="shared" si="5"/>
        <v>10</v>
      </c>
      <c r="I379">
        <v>14</v>
      </c>
      <c r="J379">
        <v>321</v>
      </c>
      <c r="K379">
        <v>8</v>
      </c>
      <c r="L379" t="s">
        <v>1853</v>
      </c>
    </row>
    <row r="380" spans="1:12" x14ac:dyDescent="0.3">
      <c r="A380" t="s">
        <v>1854</v>
      </c>
      <c r="B380" t="s">
        <v>1855</v>
      </c>
      <c r="C380" t="s">
        <v>1856</v>
      </c>
      <c r="D380" t="s">
        <v>30</v>
      </c>
      <c r="E380" t="s">
        <v>1857</v>
      </c>
      <c r="F380" t="b">
        <v>1</v>
      </c>
      <c r="G380" t="s">
        <v>1858</v>
      </c>
      <c r="H380" s="1">
        <f t="shared" si="5"/>
        <v>17</v>
      </c>
      <c r="I380">
        <v>46</v>
      </c>
      <c r="J380">
        <v>321</v>
      </c>
      <c r="K380">
        <v>0</v>
      </c>
      <c r="L380" t="s">
        <v>1859</v>
      </c>
    </row>
    <row r="381" spans="1:12" ht="86.4" x14ac:dyDescent="0.3">
      <c r="A381" t="s">
        <v>1860</v>
      </c>
      <c r="B381" t="s">
        <v>1861</v>
      </c>
      <c r="D381" t="s">
        <v>30</v>
      </c>
      <c r="F381" t="b">
        <v>1</v>
      </c>
      <c r="G381" s="1" t="s">
        <v>1862</v>
      </c>
      <c r="H381" s="1">
        <f t="shared" si="5"/>
        <v>6</v>
      </c>
      <c r="I381">
        <v>60</v>
      </c>
      <c r="J381">
        <v>321</v>
      </c>
      <c r="K381">
        <v>121</v>
      </c>
      <c r="L381" t="s">
        <v>1863</v>
      </c>
    </row>
    <row r="382" spans="1:12" x14ac:dyDescent="0.3">
      <c r="A382" t="s">
        <v>1864</v>
      </c>
      <c r="B382" t="s">
        <v>1865</v>
      </c>
      <c r="D382" t="s">
        <v>30</v>
      </c>
      <c r="G382" t="s">
        <v>1866</v>
      </c>
      <c r="H382" s="1">
        <f t="shared" si="5"/>
        <v>8</v>
      </c>
      <c r="I382">
        <v>16</v>
      </c>
      <c r="J382">
        <v>317</v>
      </c>
      <c r="K382">
        <v>330</v>
      </c>
      <c r="L382" t="s">
        <v>1867</v>
      </c>
    </row>
    <row r="383" spans="1:12" x14ac:dyDescent="0.3">
      <c r="A383" t="s">
        <v>1868</v>
      </c>
      <c r="B383" t="s">
        <v>1869</v>
      </c>
      <c r="D383" t="s">
        <v>13</v>
      </c>
      <c r="F383" t="b">
        <v>1</v>
      </c>
      <c r="H383" s="1">
        <f t="shared" si="5"/>
        <v>1</v>
      </c>
      <c r="I383">
        <v>95</v>
      </c>
      <c r="J383">
        <v>316</v>
      </c>
      <c r="K383">
        <v>1</v>
      </c>
      <c r="L383" t="s">
        <v>1870</v>
      </c>
    </row>
    <row r="384" spans="1:12" x14ac:dyDescent="0.3">
      <c r="A384" t="s">
        <v>1871</v>
      </c>
      <c r="B384" t="s">
        <v>1872</v>
      </c>
      <c r="D384" t="s">
        <v>13</v>
      </c>
      <c r="F384" t="b">
        <v>1</v>
      </c>
      <c r="H384" s="1">
        <f t="shared" si="5"/>
        <v>1</v>
      </c>
      <c r="I384">
        <v>138</v>
      </c>
      <c r="J384">
        <v>315</v>
      </c>
      <c r="K384">
        <v>4</v>
      </c>
      <c r="L384" t="s">
        <v>1873</v>
      </c>
    </row>
    <row r="385" spans="1:12" x14ac:dyDescent="0.3">
      <c r="A385" t="s">
        <v>1874</v>
      </c>
      <c r="B385" t="s">
        <v>1875</v>
      </c>
      <c r="D385" t="s">
        <v>13</v>
      </c>
      <c r="H385" s="1">
        <f t="shared" si="5"/>
        <v>1</v>
      </c>
      <c r="I385">
        <v>42</v>
      </c>
      <c r="J385">
        <v>314</v>
      </c>
      <c r="K385">
        <v>2</v>
      </c>
      <c r="L385" t="s">
        <v>1876</v>
      </c>
    </row>
    <row r="386" spans="1:12" x14ac:dyDescent="0.3">
      <c r="A386" t="s">
        <v>1877</v>
      </c>
      <c r="B386" t="s">
        <v>1878</v>
      </c>
      <c r="C386" t="s">
        <v>1879</v>
      </c>
      <c r="D386" t="s">
        <v>310</v>
      </c>
      <c r="E386" t="s">
        <v>1880</v>
      </c>
      <c r="G386" t="s">
        <v>1881</v>
      </c>
      <c r="H386" s="1">
        <f t="shared" si="5"/>
        <v>6</v>
      </c>
      <c r="I386">
        <v>197</v>
      </c>
      <c r="J386">
        <v>313</v>
      </c>
      <c r="K386">
        <v>33</v>
      </c>
      <c r="L386" t="s">
        <v>1882</v>
      </c>
    </row>
    <row r="387" spans="1:12" ht="259.2" x14ac:dyDescent="0.3">
      <c r="A387" t="s">
        <v>1883</v>
      </c>
      <c r="B387" t="s">
        <v>1884</v>
      </c>
      <c r="C387" t="s">
        <v>1885</v>
      </c>
      <c r="D387" t="s">
        <v>13</v>
      </c>
      <c r="F387" t="b">
        <v>1</v>
      </c>
      <c r="G387" s="1" t="s">
        <v>1886</v>
      </c>
      <c r="H387" s="1">
        <f t="shared" ref="H387:H450" si="6">LEN(TRIM(G387))-LEN(SUBSTITUTE(TRIM(G387)," ",""))+1</f>
        <v>21</v>
      </c>
      <c r="I387">
        <v>141</v>
      </c>
      <c r="J387">
        <v>312</v>
      </c>
      <c r="K387">
        <v>71</v>
      </c>
      <c r="L387" t="s">
        <v>1887</v>
      </c>
    </row>
    <row r="388" spans="1:12" ht="187.2" x14ac:dyDescent="0.3">
      <c r="A388" t="s">
        <v>1888</v>
      </c>
      <c r="B388" t="s">
        <v>1889</v>
      </c>
      <c r="D388" t="s">
        <v>30</v>
      </c>
      <c r="F388" t="b">
        <v>1</v>
      </c>
      <c r="G388" s="1" t="s">
        <v>1890</v>
      </c>
      <c r="H388" s="1">
        <f t="shared" si="6"/>
        <v>8</v>
      </c>
      <c r="I388">
        <v>268</v>
      </c>
      <c r="J388">
        <v>312</v>
      </c>
      <c r="K388">
        <v>16</v>
      </c>
      <c r="L388" t="s">
        <v>1891</v>
      </c>
    </row>
    <row r="389" spans="1:12" ht="86.4" x14ac:dyDescent="0.3">
      <c r="A389" t="s">
        <v>1892</v>
      </c>
      <c r="B389" t="s">
        <v>1893</v>
      </c>
      <c r="C389" t="s">
        <v>1894</v>
      </c>
      <c r="D389" t="s">
        <v>13</v>
      </c>
      <c r="E389" t="s">
        <v>1895</v>
      </c>
      <c r="F389" t="b">
        <v>1</v>
      </c>
      <c r="G389" s="1" t="s">
        <v>1896</v>
      </c>
      <c r="H389" s="1">
        <f t="shared" si="6"/>
        <v>5</v>
      </c>
      <c r="I389">
        <v>68</v>
      </c>
      <c r="J389">
        <v>311</v>
      </c>
      <c r="K389">
        <v>79</v>
      </c>
      <c r="L389" t="s">
        <v>1897</v>
      </c>
    </row>
    <row r="390" spans="1:12" x14ac:dyDescent="0.3">
      <c r="A390" t="s">
        <v>1898</v>
      </c>
      <c r="B390" t="s">
        <v>1899</v>
      </c>
      <c r="D390" t="s">
        <v>290</v>
      </c>
      <c r="E390" t="s">
        <v>430</v>
      </c>
      <c r="G390" t="s">
        <v>1900</v>
      </c>
      <c r="H390" s="1">
        <f t="shared" si="6"/>
        <v>2</v>
      </c>
      <c r="I390">
        <v>28</v>
      </c>
      <c r="J390">
        <v>309</v>
      </c>
      <c r="K390">
        <v>0</v>
      </c>
      <c r="L390" t="s">
        <v>1901</v>
      </c>
    </row>
    <row r="391" spans="1:12" x14ac:dyDescent="0.3">
      <c r="A391" t="s">
        <v>1902</v>
      </c>
      <c r="B391" t="s">
        <v>1903</v>
      </c>
      <c r="D391" t="s">
        <v>13</v>
      </c>
      <c r="G391" t="s">
        <v>1904</v>
      </c>
      <c r="H391" s="1">
        <f t="shared" si="6"/>
        <v>4</v>
      </c>
      <c r="I391">
        <v>87</v>
      </c>
      <c r="J391">
        <v>307</v>
      </c>
      <c r="K391">
        <v>27</v>
      </c>
      <c r="L391" t="s">
        <v>1905</v>
      </c>
    </row>
    <row r="392" spans="1:12" x14ac:dyDescent="0.3">
      <c r="A392" t="s">
        <v>1906</v>
      </c>
      <c r="B392" t="s">
        <v>1907</v>
      </c>
      <c r="D392" t="s">
        <v>13</v>
      </c>
      <c r="E392" t="s">
        <v>1908</v>
      </c>
      <c r="G392" t="s">
        <v>1909</v>
      </c>
      <c r="H392" s="1">
        <f t="shared" si="6"/>
        <v>8</v>
      </c>
      <c r="I392">
        <v>26</v>
      </c>
      <c r="J392">
        <v>307</v>
      </c>
      <c r="K392">
        <v>0</v>
      </c>
      <c r="L392" t="s">
        <v>1910</v>
      </c>
    </row>
    <row r="393" spans="1:12" x14ac:dyDescent="0.3">
      <c r="A393" t="s">
        <v>1911</v>
      </c>
      <c r="B393" t="s">
        <v>1912</v>
      </c>
      <c r="D393" t="s">
        <v>290</v>
      </c>
      <c r="F393" t="b">
        <v>1</v>
      </c>
      <c r="G393" t="s">
        <v>1913</v>
      </c>
      <c r="H393" s="1">
        <f t="shared" si="6"/>
        <v>11</v>
      </c>
      <c r="I393">
        <v>303</v>
      </c>
      <c r="J393">
        <v>307</v>
      </c>
      <c r="K393">
        <v>310</v>
      </c>
      <c r="L393" t="s">
        <v>1914</v>
      </c>
    </row>
    <row r="394" spans="1:12" x14ac:dyDescent="0.3">
      <c r="A394" t="s">
        <v>1915</v>
      </c>
      <c r="B394" t="s">
        <v>1916</v>
      </c>
      <c r="D394" t="s">
        <v>30</v>
      </c>
      <c r="E394" t="s">
        <v>1917</v>
      </c>
      <c r="H394" s="1">
        <f t="shared" si="6"/>
        <v>1</v>
      </c>
      <c r="I394">
        <v>90</v>
      </c>
      <c r="J394">
        <v>306</v>
      </c>
      <c r="K394">
        <v>119</v>
      </c>
      <c r="L394" t="s">
        <v>1918</v>
      </c>
    </row>
    <row r="395" spans="1:12" x14ac:dyDescent="0.3">
      <c r="A395" t="s">
        <v>1919</v>
      </c>
      <c r="B395" t="s">
        <v>1920</v>
      </c>
      <c r="D395" t="s">
        <v>13</v>
      </c>
      <c r="F395" t="b">
        <v>1</v>
      </c>
      <c r="G395" t="s">
        <v>1921</v>
      </c>
      <c r="H395" s="1">
        <f t="shared" si="6"/>
        <v>8</v>
      </c>
      <c r="I395">
        <v>382</v>
      </c>
      <c r="J395">
        <v>305</v>
      </c>
      <c r="K395">
        <v>75</v>
      </c>
      <c r="L395" t="s">
        <v>1922</v>
      </c>
    </row>
    <row r="396" spans="1:12" x14ac:dyDescent="0.3">
      <c r="A396" t="s">
        <v>1923</v>
      </c>
      <c r="B396" t="s">
        <v>1924</v>
      </c>
      <c r="D396" t="s">
        <v>13</v>
      </c>
      <c r="E396" t="s">
        <v>1925</v>
      </c>
      <c r="G396" t="s">
        <v>1926</v>
      </c>
      <c r="H396" s="1">
        <f t="shared" si="6"/>
        <v>3</v>
      </c>
      <c r="I396">
        <v>34</v>
      </c>
      <c r="J396">
        <v>305</v>
      </c>
      <c r="K396">
        <v>127</v>
      </c>
      <c r="L396" t="s">
        <v>1927</v>
      </c>
    </row>
    <row r="397" spans="1:12" x14ac:dyDescent="0.3">
      <c r="A397" t="s">
        <v>1928</v>
      </c>
      <c r="B397" t="s">
        <v>1929</v>
      </c>
      <c r="C397" t="s">
        <v>1930</v>
      </c>
      <c r="D397" t="s">
        <v>30</v>
      </c>
      <c r="G397" t="s">
        <v>1931</v>
      </c>
      <c r="H397" s="1">
        <f t="shared" si="6"/>
        <v>14</v>
      </c>
      <c r="I397">
        <v>253</v>
      </c>
      <c r="J397">
        <v>304</v>
      </c>
      <c r="K397">
        <v>300</v>
      </c>
      <c r="L397" t="s">
        <v>1932</v>
      </c>
    </row>
    <row r="398" spans="1:12" ht="302.39999999999998" x14ac:dyDescent="0.3">
      <c r="A398" t="s">
        <v>1933</v>
      </c>
      <c r="B398" t="s">
        <v>1934</v>
      </c>
      <c r="C398" t="s">
        <v>1935</v>
      </c>
      <c r="D398" t="s">
        <v>30</v>
      </c>
      <c r="F398" t="b">
        <v>1</v>
      </c>
      <c r="G398" s="1" t="s">
        <v>1936</v>
      </c>
      <c r="H398" s="1">
        <f t="shared" si="6"/>
        <v>23</v>
      </c>
      <c r="I398">
        <v>43</v>
      </c>
      <c r="J398">
        <v>304</v>
      </c>
      <c r="K398">
        <v>28</v>
      </c>
      <c r="L398" t="s">
        <v>1937</v>
      </c>
    </row>
    <row r="399" spans="1:12" x14ac:dyDescent="0.3">
      <c r="A399" t="s">
        <v>1938</v>
      </c>
      <c r="B399" t="s">
        <v>1939</v>
      </c>
      <c r="D399" t="s">
        <v>13</v>
      </c>
      <c r="E399" t="s">
        <v>1940</v>
      </c>
      <c r="G399" t="s">
        <v>1174</v>
      </c>
      <c r="H399" s="1">
        <f t="shared" si="6"/>
        <v>2</v>
      </c>
      <c r="I399">
        <v>56</v>
      </c>
      <c r="J399">
        <v>304</v>
      </c>
      <c r="K399">
        <v>597</v>
      </c>
      <c r="L399" t="s">
        <v>1941</v>
      </c>
    </row>
    <row r="400" spans="1:12" x14ac:dyDescent="0.3">
      <c r="A400" t="s">
        <v>1942</v>
      </c>
      <c r="B400" t="s">
        <v>1943</v>
      </c>
      <c r="C400" t="s">
        <v>1944</v>
      </c>
      <c r="D400" t="s">
        <v>13</v>
      </c>
      <c r="H400" s="1">
        <f t="shared" si="6"/>
        <v>1</v>
      </c>
      <c r="I400">
        <v>26</v>
      </c>
      <c r="J400">
        <v>303</v>
      </c>
      <c r="K400">
        <v>1</v>
      </c>
      <c r="L400" t="s">
        <v>1945</v>
      </c>
    </row>
    <row r="401" spans="1:12" x14ac:dyDescent="0.3">
      <c r="A401" t="s">
        <v>1946</v>
      </c>
      <c r="B401" t="s">
        <v>1947</v>
      </c>
      <c r="C401" t="s">
        <v>1948</v>
      </c>
      <c r="D401" t="s">
        <v>30</v>
      </c>
      <c r="F401" t="b">
        <v>1</v>
      </c>
      <c r="G401" t="s">
        <v>1949</v>
      </c>
      <c r="H401" s="1">
        <f t="shared" si="6"/>
        <v>5</v>
      </c>
      <c r="I401">
        <v>95</v>
      </c>
      <c r="J401">
        <v>303</v>
      </c>
      <c r="K401">
        <v>72</v>
      </c>
      <c r="L401" t="s">
        <v>1950</v>
      </c>
    </row>
    <row r="402" spans="1:12" x14ac:dyDescent="0.3">
      <c r="A402" t="s">
        <v>1951</v>
      </c>
      <c r="B402" t="s">
        <v>1952</v>
      </c>
      <c r="C402" t="s">
        <v>1953</v>
      </c>
      <c r="D402" t="s">
        <v>13</v>
      </c>
      <c r="G402" t="s">
        <v>1954</v>
      </c>
      <c r="H402" s="1">
        <f t="shared" si="6"/>
        <v>20</v>
      </c>
      <c r="I402">
        <v>23</v>
      </c>
      <c r="J402">
        <v>300</v>
      </c>
      <c r="K402">
        <v>1</v>
      </c>
      <c r="L402" t="s">
        <v>1955</v>
      </c>
    </row>
    <row r="403" spans="1:12" x14ac:dyDescent="0.3">
      <c r="A403" t="s">
        <v>1956</v>
      </c>
      <c r="B403" t="s">
        <v>1957</v>
      </c>
      <c r="C403" t="s">
        <v>1958</v>
      </c>
      <c r="D403" t="s">
        <v>30</v>
      </c>
      <c r="H403" s="1">
        <f t="shared" si="6"/>
        <v>1</v>
      </c>
      <c r="I403">
        <v>179</v>
      </c>
      <c r="J403">
        <v>299</v>
      </c>
      <c r="K403">
        <v>19</v>
      </c>
      <c r="L403" t="s">
        <v>1959</v>
      </c>
    </row>
    <row r="404" spans="1:12" x14ac:dyDescent="0.3">
      <c r="A404" t="s">
        <v>1960</v>
      </c>
      <c r="B404" t="s">
        <v>1961</v>
      </c>
      <c r="D404" t="s">
        <v>30</v>
      </c>
      <c r="F404" t="b">
        <v>1</v>
      </c>
      <c r="H404" s="1">
        <f t="shared" si="6"/>
        <v>1</v>
      </c>
      <c r="I404">
        <v>53</v>
      </c>
      <c r="J404">
        <v>298</v>
      </c>
      <c r="K404">
        <v>127</v>
      </c>
      <c r="L404" t="s">
        <v>1962</v>
      </c>
    </row>
    <row r="405" spans="1:12" x14ac:dyDescent="0.3">
      <c r="A405" t="s">
        <v>1963</v>
      </c>
      <c r="B405" t="s">
        <v>1964</v>
      </c>
      <c r="D405" t="s">
        <v>13</v>
      </c>
      <c r="E405" t="s">
        <v>1965</v>
      </c>
      <c r="G405" t="s">
        <v>1966</v>
      </c>
      <c r="H405" s="1">
        <f t="shared" si="6"/>
        <v>16</v>
      </c>
      <c r="I405">
        <v>50</v>
      </c>
      <c r="J405">
        <v>298</v>
      </c>
      <c r="K405">
        <v>7</v>
      </c>
      <c r="L405" t="s">
        <v>1967</v>
      </c>
    </row>
    <row r="406" spans="1:12" x14ac:dyDescent="0.3">
      <c r="A406" t="s">
        <v>1968</v>
      </c>
      <c r="B406" t="s">
        <v>1969</v>
      </c>
      <c r="C406" t="s">
        <v>1970</v>
      </c>
      <c r="D406" t="s">
        <v>30</v>
      </c>
      <c r="E406" t="s">
        <v>1971</v>
      </c>
      <c r="H406" s="1">
        <f t="shared" si="6"/>
        <v>1</v>
      </c>
      <c r="I406">
        <v>30</v>
      </c>
      <c r="J406">
        <v>297</v>
      </c>
      <c r="K406">
        <v>6</v>
      </c>
      <c r="L406" t="s">
        <v>1972</v>
      </c>
    </row>
    <row r="407" spans="1:12" x14ac:dyDescent="0.3">
      <c r="A407" t="s">
        <v>1973</v>
      </c>
      <c r="B407" t="s">
        <v>1974</v>
      </c>
      <c r="C407" t="s">
        <v>1975</v>
      </c>
      <c r="D407" t="s">
        <v>13</v>
      </c>
      <c r="F407" t="b">
        <v>1</v>
      </c>
      <c r="G407" t="s">
        <v>1976</v>
      </c>
      <c r="H407" s="1">
        <f t="shared" si="6"/>
        <v>9</v>
      </c>
      <c r="I407">
        <v>90</v>
      </c>
      <c r="J407">
        <v>295</v>
      </c>
      <c r="K407">
        <v>57</v>
      </c>
      <c r="L407" t="s">
        <v>1977</v>
      </c>
    </row>
    <row r="408" spans="1:12" x14ac:dyDescent="0.3">
      <c r="A408" t="s">
        <v>1978</v>
      </c>
      <c r="B408" t="s">
        <v>1979</v>
      </c>
      <c r="C408" t="s">
        <v>1980</v>
      </c>
      <c r="D408" t="s">
        <v>13</v>
      </c>
      <c r="E408" t="s">
        <v>1981</v>
      </c>
      <c r="G408" t="s">
        <v>1982</v>
      </c>
      <c r="H408" s="1">
        <f t="shared" si="6"/>
        <v>4</v>
      </c>
      <c r="I408">
        <v>32</v>
      </c>
      <c r="J408">
        <v>292</v>
      </c>
      <c r="K408">
        <v>132</v>
      </c>
      <c r="L408" t="s">
        <v>1983</v>
      </c>
    </row>
    <row r="409" spans="1:12" x14ac:dyDescent="0.3">
      <c r="A409" t="s">
        <v>1984</v>
      </c>
      <c r="B409" t="s">
        <v>1985</v>
      </c>
      <c r="D409" t="s">
        <v>30</v>
      </c>
      <c r="G409" t="s">
        <v>1986</v>
      </c>
      <c r="H409" s="1">
        <f t="shared" si="6"/>
        <v>14</v>
      </c>
      <c r="I409">
        <v>40</v>
      </c>
      <c r="J409">
        <v>291</v>
      </c>
      <c r="K409">
        <v>0</v>
      </c>
      <c r="L409" t="s">
        <v>1987</v>
      </c>
    </row>
    <row r="410" spans="1:12" x14ac:dyDescent="0.3">
      <c r="A410" t="s">
        <v>1988</v>
      </c>
      <c r="B410" t="s">
        <v>1989</v>
      </c>
      <c r="D410" t="s">
        <v>30</v>
      </c>
      <c r="G410" t="s">
        <v>1990</v>
      </c>
      <c r="H410" s="1">
        <f t="shared" si="6"/>
        <v>3</v>
      </c>
      <c r="I410">
        <v>97</v>
      </c>
      <c r="J410">
        <v>291</v>
      </c>
      <c r="K410">
        <v>88</v>
      </c>
      <c r="L410" t="s">
        <v>1991</v>
      </c>
    </row>
    <row r="411" spans="1:12" ht="72" x14ac:dyDescent="0.3">
      <c r="A411" t="s">
        <v>1992</v>
      </c>
      <c r="B411" t="s">
        <v>1993</v>
      </c>
      <c r="D411" t="s">
        <v>13</v>
      </c>
      <c r="F411" t="b">
        <v>1</v>
      </c>
      <c r="G411" s="1" t="s">
        <v>1994</v>
      </c>
      <c r="H411" s="1">
        <f t="shared" si="6"/>
        <v>7</v>
      </c>
      <c r="I411">
        <v>4</v>
      </c>
      <c r="J411">
        <v>290</v>
      </c>
      <c r="K411">
        <v>239</v>
      </c>
      <c r="L411" t="s">
        <v>1995</v>
      </c>
    </row>
    <row r="412" spans="1:12" x14ac:dyDescent="0.3">
      <c r="A412" t="s">
        <v>1996</v>
      </c>
      <c r="B412" t="s">
        <v>1997</v>
      </c>
      <c r="C412" t="s">
        <v>1998</v>
      </c>
      <c r="D412" t="s">
        <v>30</v>
      </c>
      <c r="F412" t="b">
        <v>1</v>
      </c>
      <c r="G412" t="s">
        <v>1999</v>
      </c>
      <c r="H412" s="1">
        <f t="shared" si="6"/>
        <v>4</v>
      </c>
      <c r="I412">
        <v>65</v>
      </c>
      <c r="J412">
        <v>290</v>
      </c>
      <c r="K412">
        <v>50</v>
      </c>
      <c r="L412" t="s">
        <v>2000</v>
      </c>
    </row>
    <row r="413" spans="1:12" x14ac:dyDescent="0.3">
      <c r="A413" t="s">
        <v>2001</v>
      </c>
      <c r="B413" t="s">
        <v>2002</v>
      </c>
      <c r="C413" t="s">
        <v>2003</v>
      </c>
      <c r="D413" t="s">
        <v>13</v>
      </c>
      <c r="E413" t="s">
        <v>2004</v>
      </c>
      <c r="G413" t="s">
        <v>2005</v>
      </c>
      <c r="H413" s="1">
        <f t="shared" si="6"/>
        <v>11</v>
      </c>
      <c r="I413">
        <v>113</v>
      </c>
      <c r="J413">
        <v>289</v>
      </c>
      <c r="K413">
        <v>74</v>
      </c>
      <c r="L413" t="s">
        <v>2006</v>
      </c>
    </row>
    <row r="414" spans="1:12" x14ac:dyDescent="0.3">
      <c r="A414" t="s">
        <v>2007</v>
      </c>
      <c r="B414" t="s">
        <v>2008</v>
      </c>
      <c r="C414" t="s">
        <v>2009</v>
      </c>
      <c r="D414" t="s">
        <v>30</v>
      </c>
      <c r="E414" t="s">
        <v>2010</v>
      </c>
      <c r="F414" t="b">
        <v>1</v>
      </c>
      <c r="G414" t="s">
        <v>2011</v>
      </c>
      <c r="H414" s="1">
        <f t="shared" si="6"/>
        <v>6</v>
      </c>
      <c r="I414">
        <v>89</v>
      </c>
      <c r="J414">
        <v>288</v>
      </c>
      <c r="K414">
        <v>30</v>
      </c>
      <c r="L414" t="s">
        <v>2012</v>
      </c>
    </row>
    <row r="415" spans="1:12" x14ac:dyDescent="0.3">
      <c r="A415" t="s">
        <v>2013</v>
      </c>
      <c r="B415" t="s">
        <v>2014</v>
      </c>
      <c r="C415" t="s">
        <v>2015</v>
      </c>
      <c r="D415" t="s">
        <v>30</v>
      </c>
      <c r="H415" s="1">
        <f t="shared" si="6"/>
        <v>1</v>
      </c>
      <c r="I415">
        <v>39</v>
      </c>
      <c r="J415">
        <v>288</v>
      </c>
      <c r="K415">
        <v>3</v>
      </c>
      <c r="L415" t="s">
        <v>2016</v>
      </c>
    </row>
    <row r="416" spans="1:12" x14ac:dyDescent="0.3">
      <c r="A416" t="s">
        <v>2017</v>
      </c>
      <c r="B416" t="s">
        <v>2018</v>
      </c>
      <c r="D416" t="s">
        <v>13</v>
      </c>
      <c r="E416" t="s">
        <v>2019</v>
      </c>
      <c r="F416" t="b">
        <v>1</v>
      </c>
      <c r="G416" t="s">
        <v>2020</v>
      </c>
      <c r="H416" s="1">
        <f t="shared" si="6"/>
        <v>17</v>
      </c>
      <c r="I416">
        <v>93</v>
      </c>
      <c r="J416">
        <v>285</v>
      </c>
      <c r="K416">
        <v>59</v>
      </c>
      <c r="L416" t="s">
        <v>2021</v>
      </c>
    </row>
    <row r="417" spans="1:12" ht="230.4" x14ac:dyDescent="0.3">
      <c r="A417" t="s">
        <v>2022</v>
      </c>
      <c r="B417" t="s">
        <v>2023</v>
      </c>
      <c r="C417" t="s">
        <v>2024</v>
      </c>
      <c r="D417" t="s">
        <v>30</v>
      </c>
      <c r="E417" t="s">
        <v>2025</v>
      </c>
      <c r="G417" s="1" t="s">
        <v>2026</v>
      </c>
      <c r="H417" s="1">
        <f t="shared" si="6"/>
        <v>13</v>
      </c>
      <c r="I417">
        <v>171</v>
      </c>
      <c r="J417">
        <v>285</v>
      </c>
      <c r="K417">
        <v>429</v>
      </c>
      <c r="L417" t="s">
        <v>2027</v>
      </c>
    </row>
    <row r="418" spans="1:12" x14ac:dyDescent="0.3">
      <c r="A418" t="s">
        <v>2028</v>
      </c>
      <c r="B418" t="s">
        <v>2029</v>
      </c>
      <c r="D418" t="s">
        <v>13</v>
      </c>
      <c r="G418" t="s">
        <v>2030</v>
      </c>
      <c r="H418" s="1">
        <f t="shared" si="6"/>
        <v>13</v>
      </c>
      <c r="I418">
        <v>35</v>
      </c>
      <c r="J418">
        <v>285</v>
      </c>
      <c r="K418">
        <v>0</v>
      </c>
      <c r="L418" t="s">
        <v>2031</v>
      </c>
    </row>
    <row r="419" spans="1:12" x14ac:dyDescent="0.3">
      <c r="A419" t="s">
        <v>2032</v>
      </c>
      <c r="B419" t="s">
        <v>2033</v>
      </c>
      <c r="C419" t="s">
        <v>2034</v>
      </c>
      <c r="D419" t="s">
        <v>30</v>
      </c>
      <c r="H419" s="1">
        <f t="shared" si="6"/>
        <v>1</v>
      </c>
      <c r="I419">
        <v>61</v>
      </c>
      <c r="J419">
        <v>285</v>
      </c>
      <c r="K419">
        <v>21</v>
      </c>
      <c r="L419" t="s">
        <v>2035</v>
      </c>
    </row>
    <row r="420" spans="1:12" x14ac:dyDescent="0.3">
      <c r="A420" t="s">
        <v>2036</v>
      </c>
      <c r="B420" t="s">
        <v>2037</v>
      </c>
      <c r="D420" t="s">
        <v>13</v>
      </c>
      <c r="F420" t="b">
        <v>1</v>
      </c>
      <c r="G420" t="s">
        <v>2038</v>
      </c>
      <c r="H420" s="1">
        <f t="shared" si="6"/>
        <v>2</v>
      </c>
      <c r="I420">
        <v>212</v>
      </c>
      <c r="J420">
        <v>285</v>
      </c>
      <c r="K420">
        <v>608</v>
      </c>
      <c r="L420" t="s">
        <v>2039</v>
      </c>
    </row>
    <row r="421" spans="1:12" x14ac:dyDescent="0.3">
      <c r="A421" t="s">
        <v>2040</v>
      </c>
      <c r="B421" t="s">
        <v>2041</v>
      </c>
      <c r="D421" t="s">
        <v>30</v>
      </c>
      <c r="H421" s="1">
        <f t="shared" si="6"/>
        <v>1</v>
      </c>
      <c r="I421">
        <v>477</v>
      </c>
      <c r="J421">
        <v>284</v>
      </c>
      <c r="K421">
        <v>0</v>
      </c>
      <c r="L421" t="s">
        <v>2042</v>
      </c>
    </row>
    <row r="422" spans="1:12" x14ac:dyDescent="0.3">
      <c r="A422" t="s">
        <v>2043</v>
      </c>
      <c r="B422" t="s">
        <v>2044</v>
      </c>
      <c r="D422" t="s">
        <v>13</v>
      </c>
      <c r="F422" t="b">
        <v>1</v>
      </c>
      <c r="H422" s="1">
        <f t="shared" si="6"/>
        <v>1</v>
      </c>
      <c r="I422">
        <v>21</v>
      </c>
      <c r="J422">
        <v>284</v>
      </c>
      <c r="K422">
        <v>1</v>
      </c>
      <c r="L422" t="s">
        <v>2045</v>
      </c>
    </row>
    <row r="423" spans="1:12" ht="360" x14ac:dyDescent="0.3">
      <c r="A423" t="s">
        <v>2046</v>
      </c>
      <c r="B423" t="s">
        <v>2047</v>
      </c>
      <c r="C423" t="s">
        <v>2048</v>
      </c>
      <c r="D423" t="s">
        <v>13</v>
      </c>
      <c r="E423" t="s">
        <v>2049</v>
      </c>
      <c r="G423" s="1" t="s">
        <v>2050</v>
      </c>
      <c r="H423" s="1">
        <f t="shared" si="6"/>
        <v>18</v>
      </c>
      <c r="I423">
        <v>35</v>
      </c>
      <c r="J423">
        <v>283</v>
      </c>
      <c r="K423">
        <v>41</v>
      </c>
      <c r="L423" t="s">
        <v>2051</v>
      </c>
    </row>
    <row r="424" spans="1:12" x14ac:dyDescent="0.3">
      <c r="A424" t="s">
        <v>2052</v>
      </c>
      <c r="B424" t="s">
        <v>2053</v>
      </c>
      <c r="D424" t="s">
        <v>30</v>
      </c>
      <c r="G424" t="s">
        <v>2054</v>
      </c>
      <c r="H424" s="1">
        <f t="shared" si="6"/>
        <v>9</v>
      </c>
      <c r="I424">
        <v>42</v>
      </c>
      <c r="J424">
        <v>283</v>
      </c>
      <c r="K424">
        <v>86</v>
      </c>
      <c r="L424" t="s">
        <v>2055</v>
      </c>
    </row>
    <row r="425" spans="1:12" x14ac:dyDescent="0.3">
      <c r="A425" t="s">
        <v>2056</v>
      </c>
      <c r="B425" t="s">
        <v>2057</v>
      </c>
      <c r="D425" t="s">
        <v>13</v>
      </c>
      <c r="H425" s="1">
        <f t="shared" si="6"/>
        <v>1</v>
      </c>
      <c r="I425">
        <v>140</v>
      </c>
      <c r="J425">
        <v>283</v>
      </c>
      <c r="K425">
        <v>284</v>
      </c>
      <c r="L425" t="s">
        <v>2058</v>
      </c>
    </row>
    <row r="426" spans="1:12" x14ac:dyDescent="0.3">
      <c r="A426" t="s">
        <v>2059</v>
      </c>
      <c r="B426" t="s">
        <v>2059</v>
      </c>
      <c r="D426" t="s">
        <v>30</v>
      </c>
      <c r="E426" t="s">
        <v>2060</v>
      </c>
      <c r="G426" t="s">
        <v>2061</v>
      </c>
      <c r="H426" s="1">
        <f t="shared" si="6"/>
        <v>4</v>
      </c>
      <c r="I426">
        <v>199</v>
      </c>
      <c r="J426">
        <v>283</v>
      </c>
      <c r="K426">
        <v>0</v>
      </c>
      <c r="L426" t="s">
        <v>2062</v>
      </c>
    </row>
    <row r="427" spans="1:12" x14ac:dyDescent="0.3">
      <c r="A427" t="s">
        <v>2063</v>
      </c>
      <c r="B427" t="s">
        <v>2064</v>
      </c>
      <c r="D427" t="s">
        <v>13</v>
      </c>
      <c r="F427" t="b">
        <v>1</v>
      </c>
      <c r="G427" t="s">
        <v>2065</v>
      </c>
      <c r="H427" s="1">
        <f t="shared" si="6"/>
        <v>2</v>
      </c>
      <c r="I427">
        <v>21</v>
      </c>
      <c r="J427">
        <v>282</v>
      </c>
      <c r="K427">
        <v>51</v>
      </c>
      <c r="L427" t="s">
        <v>2066</v>
      </c>
    </row>
    <row r="428" spans="1:12" x14ac:dyDescent="0.3">
      <c r="A428" t="s">
        <v>2067</v>
      </c>
      <c r="B428" t="s">
        <v>2068</v>
      </c>
      <c r="D428" t="s">
        <v>13</v>
      </c>
      <c r="E428" t="s">
        <v>2069</v>
      </c>
      <c r="G428" t="s">
        <v>2070</v>
      </c>
      <c r="H428" s="1">
        <f t="shared" si="6"/>
        <v>18</v>
      </c>
      <c r="I428">
        <v>7</v>
      </c>
      <c r="J428">
        <v>282</v>
      </c>
      <c r="K428">
        <v>27</v>
      </c>
      <c r="L428" t="s">
        <v>2071</v>
      </c>
    </row>
    <row r="429" spans="1:12" x14ac:dyDescent="0.3">
      <c r="A429" t="s">
        <v>2072</v>
      </c>
      <c r="B429" t="s">
        <v>2073</v>
      </c>
      <c r="C429" t="s">
        <v>2074</v>
      </c>
      <c r="D429" t="s">
        <v>30</v>
      </c>
      <c r="F429" t="b">
        <v>1</v>
      </c>
      <c r="G429" t="s">
        <v>2075</v>
      </c>
      <c r="H429" s="1">
        <f t="shared" si="6"/>
        <v>2</v>
      </c>
      <c r="I429">
        <v>73</v>
      </c>
      <c r="J429">
        <v>281</v>
      </c>
      <c r="K429">
        <v>0</v>
      </c>
      <c r="L429" t="s">
        <v>2076</v>
      </c>
    </row>
    <row r="430" spans="1:12" x14ac:dyDescent="0.3">
      <c r="A430" t="s">
        <v>2077</v>
      </c>
      <c r="B430" t="s">
        <v>2078</v>
      </c>
      <c r="C430" t="s">
        <v>2079</v>
      </c>
      <c r="D430" t="s">
        <v>13</v>
      </c>
      <c r="G430" t="s">
        <v>2080</v>
      </c>
      <c r="H430" s="1">
        <f t="shared" si="6"/>
        <v>16</v>
      </c>
      <c r="I430">
        <v>476</v>
      </c>
      <c r="J430">
        <v>280</v>
      </c>
      <c r="K430">
        <v>54</v>
      </c>
      <c r="L430" t="s">
        <v>2081</v>
      </c>
    </row>
    <row r="431" spans="1:12" x14ac:dyDescent="0.3">
      <c r="A431" t="s">
        <v>2082</v>
      </c>
      <c r="B431" t="s">
        <v>2083</v>
      </c>
      <c r="C431" t="s">
        <v>2003</v>
      </c>
      <c r="D431" t="s">
        <v>13</v>
      </c>
      <c r="E431" t="s">
        <v>2084</v>
      </c>
      <c r="G431" t="s">
        <v>1802</v>
      </c>
      <c r="H431" s="1">
        <f t="shared" si="6"/>
        <v>2</v>
      </c>
      <c r="I431">
        <v>52</v>
      </c>
      <c r="J431">
        <v>280</v>
      </c>
      <c r="K431">
        <v>131</v>
      </c>
      <c r="L431" t="s">
        <v>2085</v>
      </c>
    </row>
    <row r="432" spans="1:12" x14ac:dyDescent="0.3">
      <c r="A432" t="s">
        <v>2086</v>
      </c>
      <c r="B432" t="s">
        <v>2087</v>
      </c>
      <c r="C432" t="s">
        <v>2088</v>
      </c>
      <c r="D432" t="s">
        <v>13</v>
      </c>
      <c r="E432" t="s">
        <v>2089</v>
      </c>
      <c r="G432" t="s">
        <v>2090</v>
      </c>
      <c r="H432" s="1">
        <f t="shared" si="6"/>
        <v>19</v>
      </c>
      <c r="I432">
        <v>44</v>
      </c>
      <c r="J432">
        <v>279</v>
      </c>
      <c r="K432">
        <v>3</v>
      </c>
      <c r="L432" t="s">
        <v>2091</v>
      </c>
    </row>
    <row r="433" spans="1:12" x14ac:dyDescent="0.3">
      <c r="A433" t="s">
        <v>2092</v>
      </c>
      <c r="B433" t="s">
        <v>2093</v>
      </c>
      <c r="D433" t="s">
        <v>30</v>
      </c>
      <c r="H433" s="1">
        <f t="shared" si="6"/>
        <v>1</v>
      </c>
      <c r="I433">
        <v>290</v>
      </c>
      <c r="J433">
        <v>279</v>
      </c>
      <c r="K433">
        <v>57</v>
      </c>
      <c r="L433" t="s">
        <v>2094</v>
      </c>
    </row>
    <row r="434" spans="1:12" x14ac:dyDescent="0.3">
      <c r="A434" t="s">
        <v>2095</v>
      </c>
      <c r="B434" t="s">
        <v>2096</v>
      </c>
      <c r="D434" t="s">
        <v>13</v>
      </c>
      <c r="F434" t="b">
        <v>1</v>
      </c>
      <c r="G434" t="s">
        <v>2097</v>
      </c>
      <c r="H434" s="1">
        <f t="shared" si="6"/>
        <v>3</v>
      </c>
      <c r="I434">
        <v>44</v>
      </c>
      <c r="J434">
        <v>278</v>
      </c>
      <c r="K434">
        <v>171</v>
      </c>
      <c r="L434" t="s">
        <v>2098</v>
      </c>
    </row>
    <row r="435" spans="1:12" x14ac:dyDescent="0.3">
      <c r="A435" t="s">
        <v>2099</v>
      </c>
      <c r="B435" t="s">
        <v>2100</v>
      </c>
      <c r="C435" t="s">
        <v>2101</v>
      </c>
      <c r="D435" t="s">
        <v>13</v>
      </c>
      <c r="F435" t="b">
        <v>1</v>
      </c>
      <c r="G435" t="s">
        <v>2102</v>
      </c>
      <c r="H435" s="1">
        <f t="shared" si="6"/>
        <v>20</v>
      </c>
      <c r="I435">
        <v>81</v>
      </c>
      <c r="J435">
        <v>278</v>
      </c>
      <c r="K435">
        <v>209</v>
      </c>
      <c r="L435" t="s">
        <v>2103</v>
      </c>
    </row>
    <row r="436" spans="1:12" x14ac:dyDescent="0.3">
      <c r="A436" t="s">
        <v>2104</v>
      </c>
      <c r="B436" t="s">
        <v>2105</v>
      </c>
      <c r="D436" t="s">
        <v>30</v>
      </c>
      <c r="E436" t="s">
        <v>2106</v>
      </c>
      <c r="F436" t="b">
        <v>1</v>
      </c>
      <c r="G436" t="s">
        <v>2107</v>
      </c>
      <c r="H436" s="1">
        <f t="shared" si="6"/>
        <v>6</v>
      </c>
      <c r="I436">
        <v>86</v>
      </c>
      <c r="J436">
        <v>277</v>
      </c>
      <c r="K436">
        <v>21</v>
      </c>
      <c r="L436" t="s">
        <v>2108</v>
      </c>
    </row>
    <row r="437" spans="1:12" x14ac:dyDescent="0.3">
      <c r="A437" t="s">
        <v>2109</v>
      </c>
      <c r="B437" t="s">
        <v>2110</v>
      </c>
      <c r="C437" t="s">
        <v>2111</v>
      </c>
      <c r="D437" t="s">
        <v>13</v>
      </c>
      <c r="E437" t="s">
        <v>2112</v>
      </c>
      <c r="F437" t="b">
        <v>1</v>
      </c>
      <c r="G437" t="s">
        <v>2113</v>
      </c>
      <c r="H437" s="1">
        <f t="shared" si="6"/>
        <v>17</v>
      </c>
      <c r="I437">
        <v>34</v>
      </c>
      <c r="J437">
        <v>277</v>
      </c>
      <c r="K437">
        <v>270</v>
      </c>
      <c r="L437" t="s">
        <v>2114</v>
      </c>
    </row>
    <row r="438" spans="1:12" x14ac:dyDescent="0.3">
      <c r="A438" t="s">
        <v>2115</v>
      </c>
      <c r="B438" t="s">
        <v>2116</v>
      </c>
      <c r="C438" t="s">
        <v>2117</v>
      </c>
      <c r="D438" t="s">
        <v>30</v>
      </c>
      <c r="G438" t="s">
        <v>2118</v>
      </c>
      <c r="H438" s="1">
        <f t="shared" si="6"/>
        <v>13</v>
      </c>
      <c r="I438">
        <v>149</v>
      </c>
      <c r="J438">
        <v>277</v>
      </c>
      <c r="K438">
        <v>50</v>
      </c>
      <c r="L438" t="s">
        <v>2119</v>
      </c>
    </row>
    <row r="439" spans="1:12" x14ac:dyDescent="0.3">
      <c r="A439" t="s">
        <v>2120</v>
      </c>
      <c r="B439" t="s">
        <v>2121</v>
      </c>
      <c r="C439" t="s">
        <v>2122</v>
      </c>
      <c r="D439" t="s">
        <v>2123</v>
      </c>
      <c r="E439" t="s">
        <v>2124</v>
      </c>
      <c r="F439" t="b">
        <v>1</v>
      </c>
      <c r="H439" s="1">
        <f t="shared" si="6"/>
        <v>1</v>
      </c>
      <c r="I439">
        <v>41</v>
      </c>
      <c r="J439">
        <v>277</v>
      </c>
      <c r="K439">
        <v>31</v>
      </c>
      <c r="L439" t="s">
        <v>2125</v>
      </c>
    </row>
    <row r="440" spans="1:12" ht="172.8" x14ac:dyDescent="0.3">
      <c r="A440" t="s">
        <v>2126</v>
      </c>
      <c r="B440" t="s">
        <v>2127</v>
      </c>
      <c r="C440" t="s">
        <v>2128</v>
      </c>
      <c r="D440" t="s">
        <v>13</v>
      </c>
      <c r="F440" t="b">
        <v>1</v>
      </c>
      <c r="G440" s="1" t="s">
        <v>2129</v>
      </c>
      <c r="H440" s="1">
        <f t="shared" si="6"/>
        <v>9</v>
      </c>
      <c r="I440">
        <v>146</v>
      </c>
      <c r="J440">
        <v>276</v>
      </c>
      <c r="K440">
        <v>270</v>
      </c>
      <c r="L440" t="s">
        <v>2130</v>
      </c>
    </row>
    <row r="441" spans="1:12" x14ac:dyDescent="0.3">
      <c r="A441" t="s">
        <v>2131</v>
      </c>
      <c r="D441" t="s">
        <v>30</v>
      </c>
      <c r="G441" t="s">
        <v>2132</v>
      </c>
      <c r="H441" s="1">
        <f t="shared" si="6"/>
        <v>6</v>
      </c>
      <c r="I441">
        <v>1</v>
      </c>
      <c r="J441">
        <v>276</v>
      </c>
      <c r="K441">
        <v>0</v>
      </c>
      <c r="L441" t="s">
        <v>2133</v>
      </c>
    </row>
    <row r="442" spans="1:12" x14ac:dyDescent="0.3">
      <c r="A442" t="s">
        <v>2134</v>
      </c>
      <c r="B442" t="s">
        <v>2135</v>
      </c>
      <c r="C442" t="s">
        <v>2136</v>
      </c>
      <c r="D442" t="s">
        <v>13</v>
      </c>
      <c r="E442" t="s">
        <v>2137</v>
      </c>
      <c r="F442" t="b">
        <v>1</v>
      </c>
      <c r="H442" s="1">
        <f t="shared" si="6"/>
        <v>1</v>
      </c>
      <c r="I442">
        <v>52</v>
      </c>
      <c r="J442">
        <v>275</v>
      </c>
      <c r="K442">
        <v>69</v>
      </c>
      <c r="L442" t="s">
        <v>2138</v>
      </c>
    </row>
    <row r="443" spans="1:12" ht="86.4" x14ac:dyDescent="0.3">
      <c r="A443" t="s">
        <v>2139</v>
      </c>
      <c r="B443" t="s">
        <v>2140</v>
      </c>
      <c r="D443" t="s">
        <v>30</v>
      </c>
      <c r="G443" s="1" t="s">
        <v>2141</v>
      </c>
      <c r="H443" s="1">
        <f t="shared" si="6"/>
        <v>6</v>
      </c>
      <c r="I443">
        <v>9</v>
      </c>
      <c r="J443">
        <v>275</v>
      </c>
      <c r="K443">
        <v>1</v>
      </c>
      <c r="L443" t="s">
        <v>2142</v>
      </c>
    </row>
    <row r="444" spans="1:12" x14ac:dyDescent="0.3">
      <c r="A444" t="s">
        <v>2143</v>
      </c>
      <c r="B444" t="s">
        <v>2144</v>
      </c>
      <c r="D444" t="s">
        <v>13</v>
      </c>
      <c r="F444" t="b">
        <v>1</v>
      </c>
      <c r="H444" s="1">
        <f t="shared" si="6"/>
        <v>1</v>
      </c>
      <c r="I444">
        <v>30</v>
      </c>
      <c r="J444">
        <v>275</v>
      </c>
      <c r="K444">
        <v>3</v>
      </c>
      <c r="L444" t="s">
        <v>2145</v>
      </c>
    </row>
    <row r="445" spans="1:12" x14ac:dyDescent="0.3">
      <c r="A445" t="s">
        <v>2146</v>
      </c>
      <c r="B445" t="s">
        <v>2147</v>
      </c>
      <c r="C445" t="s">
        <v>2148</v>
      </c>
      <c r="D445" t="s">
        <v>13</v>
      </c>
      <c r="G445" t="s">
        <v>648</v>
      </c>
      <c r="H445" s="1">
        <f t="shared" si="6"/>
        <v>2</v>
      </c>
      <c r="I445">
        <v>93</v>
      </c>
      <c r="J445">
        <v>275</v>
      </c>
      <c r="K445">
        <v>125</v>
      </c>
      <c r="L445" t="s">
        <v>2149</v>
      </c>
    </row>
    <row r="446" spans="1:12" x14ac:dyDescent="0.3">
      <c r="A446" t="s">
        <v>2150</v>
      </c>
      <c r="B446" t="s">
        <v>2151</v>
      </c>
      <c r="D446" t="s">
        <v>30</v>
      </c>
      <c r="G446" t="s">
        <v>2152</v>
      </c>
      <c r="H446" s="1">
        <f t="shared" si="6"/>
        <v>14</v>
      </c>
      <c r="I446">
        <v>107</v>
      </c>
      <c r="J446">
        <v>274</v>
      </c>
      <c r="K446">
        <v>23</v>
      </c>
      <c r="L446" t="s">
        <v>2153</v>
      </c>
    </row>
    <row r="447" spans="1:12" x14ac:dyDescent="0.3">
      <c r="A447" t="s">
        <v>2154</v>
      </c>
      <c r="B447" t="s">
        <v>2155</v>
      </c>
      <c r="D447" t="s">
        <v>13</v>
      </c>
      <c r="E447" t="s">
        <v>2156</v>
      </c>
      <c r="H447" s="1">
        <f t="shared" si="6"/>
        <v>1</v>
      </c>
      <c r="I447">
        <v>224</v>
      </c>
      <c r="J447">
        <v>273</v>
      </c>
      <c r="K447">
        <v>43</v>
      </c>
      <c r="L447" t="s">
        <v>2157</v>
      </c>
    </row>
    <row r="448" spans="1:12" x14ac:dyDescent="0.3">
      <c r="A448" t="s">
        <v>2158</v>
      </c>
      <c r="B448" t="s">
        <v>2159</v>
      </c>
      <c r="C448" t="s">
        <v>2160</v>
      </c>
      <c r="D448" t="s">
        <v>2161</v>
      </c>
      <c r="E448" t="s">
        <v>2162</v>
      </c>
      <c r="G448" t="s">
        <v>2163</v>
      </c>
      <c r="H448" s="1">
        <f t="shared" si="6"/>
        <v>2</v>
      </c>
      <c r="I448">
        <v>196</v>
      </c>
      <c r="J448">
        <v>273</v>
      </c>
      <c r="K448">
        <v>155</v>
      </c>
      <c r="L448" t="s">
        <v>2164</v>
      </c>
    </row>
    <row r="449" spans="1:12" x14ac:dyDescent="0.3">
      <c r="A449" t="s">
        <v>2165</v>
      </c>
      <c r="B449" t="s">
        <v>2166</v>
      </c>
      <c r="C449" t="s">
        <v>2167</v>
      </c>
      <c r="D449" t="s">
        <v>30</v>
      </c>
      <c r="E449" t="s">
        <v>2168</v>
      </c>
      <c r="H449" s="1">
        <f t="shared" si="6"/>
        <v>1</v>
      </c>
      <c r="I449">
        <v>18</v>
      </c>
      <c r="J449">
        <v>273</v>
      </c>
      <c r="K449">
        <v>1</v>
      </c>
      <c r="L449" t="s">
        <v>2169</v>
      </c>
    </row>
    <row r="450" spans="1:12" x14ac:dyDescent="0.3">
      <c r="A450" t="s">
        <v>2170</v>
      </c>
      <c r="B450" t="s">
        <v>2171</v>
      </c>
      <c r="D450" t="s">
        <v>13</v>
      </c>
      <c r="H450" s="1">
        <f t="shared" si="6"/>
        <v>1</v>
      </c>
      <c r="I450">
        <v>63</v>
      </c>
      <c r="J450">
        <v>272</v>
      </c>
      <c r="K450">
        <v>17</v>
      </c>
      <c r="L450" t="s">
        <v>2172</v>
      </c>
    </row>
    <row r="451" spans="1:12" x14ac:dyDescent="0.3">
      <c r="A451" t="s">
        <v>2173</v>
      </c>
      <c r="B451" t="s">
        <v>2174</v>
      </c>
      <c r="C451" t="s">
        <v>2175</v>
      </c>
      <c r="D451" t="s">
        <v>30</v>
      </c>
      <c r="E451" t="s">
        <v>2176</v>
      </c>
      <c r="F451" t="b">
        <v>1</v>
      </c>
      <c r="G451" t="s">
        <v>2177</v>
      </c>
      <c r="H451" s="1">
        <f t="shared" ref="H451:H514" si="7">LEN(TRIM(G451))-LEN(SUBSTITUTE(TRIM(G451)," ",""))+1</f>
        <v>15</v>
      </c>
      <c r="I451">
        <v>297</v>
      </c>
      <c r="J451">
        <v>271</v>
      </c>
      <c r="K451">
        <v>34</v>
      </c>
      <c r="L451" t="s">
        <v>2178</v>
      </c>
    </row>
    <row r="452" spans="1:12" ht="158.4" x14ac:dyDescent="0.3">
      <c r="A452" t="s">
        <v>2179</v>
      </c>
      <c r="B452" t="s">
        <v>2180</v>
      </c>
      <c r="D452" t="s">
        <v>13</v>
      </c>
      <c r="E452" t="s">
        <v>2181</v>
      </c>
      <c r="G452" s="1" t="s">
        <v>2182</v>
      </c>
      <c r="H452" s="1">
        <f t="shared" si="7"/>
        <v>12</v>
      </c>
      <c r="I452">
        <v>43</v>
      </c>
      <c r="J452">
        <v>271</v>
      </c>
      <c r="K452">
        <v>56</v>
      </c>
      <c r="L452" t="s">
        <v>2183</v>
      </c>
    </row>
    <row r="453" spans="1:12" x14ac:dyDescent="0.3">
      <c r="A453" t="s">
        <v>2184</v>
      </c>
      <c r="B453" t="s">
        <v>2185</v>
      </c>
      <c r="D453" t="s">
        <v>13</v>
      </c>
      <c r="F453" t="b">
        <v>1</v>
      </c>
      <c r="G453" t="s">
        <v>2186</v>
      </c>
      <c r="H453" s="1">
        <f t="shared" si="7"/>
        <v>3</v>
      </c>
      <c r="I453">
        <v>48</v>
      </c>
      <c r="J453">
        <v>270</v>
      </c>
      <c r="K453">
        <v>15</v>
      </c>
      <c r="L453" t="s">
        <v>2187</v>
      </c>
    </row>
    <row r="454" spans="1:12" x14ac:dyDescent="0.3">
      <c r="A454" t="s">
        <v>2188</v>
      </c>
      <c r="B454" t="s">
        <v>2189</v>
      </c>
      <c r="C454" t="s">
        <v>664</v>
      </c>
      <c r="D454" t="s">
        <v>2190</v>
      </c>
      <c r="G454" t="s">
        <v>2191</v>
      </c>
      <c r="H454" s="1">
        <f t="shared" si="7"/>
        <v>21</v>
      </c>
      <c r="I454">
        <v>41</v>
      </c>
      <c r="J454">
        <v>270</v>
      </c>
      <c r="K454">
        <v>10</v>
      </c>
      <c r="L454" t="s">
        <v>2192</v>
      </c>
    </row>
    <row r="455" spans="1:12" x14ac:dyDescent="0.3">
      <c r="A455" t="s">
        <v>2193</v>
      </c>
      <c r="B455" t="s">
        <v>2194</v>
      </c>
      <c r="D455" t="s">
        <v>13</v>
      </c>
      <c r="F455" t="b">
        <v>1</v>
      </c>
      <c r="G455" t="s">
        <v>2195</v>
      </c>
      <c r="H455" s="1">
        <f t="shared" si="7"/>
        <v>9</v>
      </c>
      <c r="I455">
        <v>48</v>
      </c>
      <c r="J455">
        <v>269</v>
      </c>
      <c r="K455">
        <v>19</v>
      </c>
      <c r="L455" t="s">
        <v>2196</v>
      </c>
    </row>
    <row r="456" spans="1:12" x14ac:dyDescent="0.3">
      <c r="A456" t="s">
        <v>2197</v>
      </c>
      <c r="B456" t="s">
        <v>2198</v>
      </c>
      <c r="C456" t="s">
        <v>2199</v>
      </c>
      <c r="D456" t="s">
        <v>13</v>
      </c>
      <c r="E456" t="s">
        <v>2200</v>
      </c>
      <c r="G456" t="s">
        <v>2201</v>
      </c>
      <c r="H456" s="1">
        <f t="shared" si="7"/>
        <v>14</v>
      </c>
      <c r="I456">
        <v>169</v>
      </c>
      <c r="J456">
        <v>268</v>
      </c>
      <c r="K456">
        <v>76</v>
      </c>
      <c r="L456" t="s">
        <v>2202</v>
      </c>
    </row>
    <row r="457" spans="1:12" x14ac:dyDescent="0.3">
      <c r="A457" t="s">
        <v>2203</v>
      </c>
      <c r="B457" t="s">
        <v>2204</v>
      </c>
      <c r="D457" t="s">
        <v>30</v>
      </c>
      <c r="H457" s="1">
        <f t="shared" si="7"/>
        <v>1</v>
      </c>
      <c r="I457">
        <v>128</v>
      </c>
      <c r="J457">
        <v>267</v>
      </c>
      <c r="K457">
        <v>16</v>
      </c>
      <c r="L457" t="s">
        <v>2205</v>
      </c>
    </row>
    <row r="458" spans="1:12" x14ac:dyDescent="0.3">
      <c r="A458" t="s">
        <v>2206</v>
      </c>
      <c r="B458" t="s">
        <v>2207</v>
      </c>
      <c r="D458" t="s">
        <v>30</v>
      </c>
      <c r="E458" t="s">
        <v>2208</v>
      </c>
      <c r="G458" t="s">
        <v>2209</v>
      </c>
      <c r="H458" s="1">
        <f t="shared" si="7"/>
        <v>8</v>
      </c>
      <c r="I458">
        <v>2</v>
      </c>
      <c r="J458">
        <v>267</v>
      </c>
      <c r="K458">
        <v>32</v>
      </c>
      <c r="L458" t="s">
        <v>2210</v>
      </c>
    </row>
    <row r="459" spans="1:12" x14ac:dyDescent="0.3">
      <c r="A459" t="s">
        <v>2211</v>
      </c>
      <c r="B459" t="s">
        <v>2211</v>
      </c>
      <c r="D459" t="s">
        <v>13</v>
      </c>
      <c r="F459" t="b">
        <v>1</v>
      </c>
      <c r="H459" s="1">
        <f t="shared" si="7"/>
        <v>1</v>
      </c>
      <c r="I459">
        <v>13</v>
      </c>
      <c r="J459">
        <v>267</v>
      </c>
      <c r="K459">
        <v>0</v>
      </c>
      <c r="L459" t="s">
        <v>2212</v>
      </c>
    </row>
    <row r="460" spans="1:12" x14ac:dyDescent="0.3">
      <c r="A460" t="s">
        <v>2213</v>
      </c>
      <c r="B460" t="s">
        <v>2214</v>
      </c>
      <c r="C460" t="s">
        <v>2215</v>
      </c>
      <c r="D460" t="s">
        <v>13</v>
      </c>
      <c r="G460" t="s">
        <v>2216</v>
      </c>
      <c r="H460" s="1">
        <f t="shared" si="7"/>
        <v>12</v>
      </c>
      <c r="I460">
        <v>64</v>
      </c>
      <c r="J460">
        <v>267</v>
      </c>
      <c r="K460">
        <v>26</v>
      </c>
      <c r="L460" t="s">
        <v>2217</v>
      </c>
    </row>
    <row r="461" spans="1:12" x14ac:dyDescent="0.3">
      <c r="A461" t="s">
        <v>2218</v>
      </c>
      <c r="B461" t="s">
        <v>2219</v>
      </c>
      <c r="C461" t="s">
        <v>2220</v>
      </c>
      <c r="D461" t="s">
        <v>13</v>
      </c>
      <c r="G461" t="s">
        <v>2221</v>
      </c>
      <c r="H461" s="1">
        <f t="shared" si="7"/>
        <v>17</v>
      </c>
      <c r="I461">
        <v>41</v>
      </c>
      <c r="J461">
        <v>266</v>
      </c>
      <c r="K461">
        <v>1</v>
      </c>
      <c r="L461" t="s">
        <v>2222</v>
      </c>
    </row>
    <row r="462" spans="1:12" x14ac:dyDescent="0.3">
      <c r="A462" t="s">
        <v>2223</v>
      </c>
      <c r="B462" t="s">
        <v>2224</v>
      </c>
      <c r="C462" t="s">
        <v>2225</v>
      </c>
      <c r="D462" t="s">
        <v>13</v>
      </c>
      <c r="E462" t="s">
        <v>2226</v>
      </c>
      <c r="H462" s="1">
        <f t="shared" si="7"/>
        <v>1</v>
      </c>
      <c r="I462">
        <v>21</v>
      </c>
      <c r="J462">
        <v>265</v>
      </c>
      <c r="K462">
        <v>27</v>
      </c>
      <c r="L462" t="s">
        <v>2227</v>
      </c>
    </row>
    <row r="463" spans="1:12" x14ac:dyDescent="0.3">
      <c r="A463" t="s">
        <v>2228</v>
      </c>
      <c r="B463" t="s">
        <v>2229</v>
      </c>
      <c r="D463" t="s">
        <v>13</v>
      </c>
      <c r="E463" t="s">
        <v>2230</v>
      </c>
      <c r="F463" t="b">
        <v>1</v>
      </c>
      <c r="G463" t="s">
        <v>2231</v>
      </c>
      <c r="H463" s="1">
        <f t="shared" si="7"/>
        <v>5</v>
      </c>
      <c r="I463">
        <v>105</v>
      </c>
      <c r="J463">
        <v>265</v>
      </c>
      <c r="K463">
        <v>47</v>
      </c>
      <c r="L463" t="s">
        <v>2232</v>
      </c>
    </row>
    <row r="464" spans="1:12" x14ac:dyDescent="0.3">
      <c r="A464" t="s">
        <v>2233</v>
      </c>
      <c r="B464" t="s">
        <v>2234</v>
      </c>
      <c r="C464" t="s">
        <v>2167</v>
      </c>
      <c r="D464" t="s">
        <v>30</v>
      </c>
      <c r="H464" s="1">
        <f t="shared" si="7"/>
        <v>1</v>
      </c>
      <c r="I464">
        <v>100</v>
      </c>
      <c r="J464">
        <v>264</v>
      </c>
      <c r="K464">
        <v>27</v>
      </c>
      <c r="L464" t="s">
        <v>2235</v>
      </c>
    </row>
    <row r="465" spans="1:12" x14ac:dyDescent="0.3">
      <c r="A465" t="s">
        <v>2236</v>
      </c>
      <c r="B465" t="s">
        <v>2237</v>
      </c>
      <c r="D465" t="s">
        <v>13</v>
      </c>
      <c r="F465" t="b">
        <v>1</v>
      </c>
      <c r="G465" t="s">
        <v>2238</v>
      </c>
      <c r="H465" s="1">
        <f t="shared" si="7"/>
        <v>3</v>
      </c>
      <c r="I465">
        <v>96</v>
      </c>
      <c r="J465">
        <v>263</v>
      </c>
      <c r="K465">
        <v>2446</v>
      </c>
      <c r="L465" t="s">
        <v>2239</v>
      </c>
    </row>
    <row r="466" spans="1:12" x14ac:dyDescent="0.3">
      <c r="A466" t="s">
        <v>2240</v>
      </c>
      <c r="B466" t="s">
        <v>2241</v>
      </c>
      <c r="D466" t="s">
        <v>2242</v>
      </c>
      <c r="G466" t="s">
        <v>2243</v>
      </c>
      <c r="H466" s="1">
        <f t="shared" si="7"/>
        <v>8</v>
      </c>
      <c r="I466">
        <v>15</v>
      </c>
      <c r="J466">
        <v>262</v>
      </c>
      <c r="K466">
        <v>336</v>
      </c>
      <c r="L466" t="s">
        <v>2244</v>
      </c>
    </row>
    <row r="467" spans="1:12" x14ac:dyDescent="0.3">
      <c r="A467" t="s">
        <v>2245</v>
      </c>
      <c r="B467" t="s">
        <v>2246</v>
      </c>
      <c r="C467" t="s">
        <v>697</v>
      </c>
      <c r="D467" t="s">
        <v>13</v>
      </c>
      <c r="G467" t="s">
        <v>2247</v>
      </c>
      <c r="H467" s="1">
        <f t="shared" si="7"/>
        <v>4</v>
      </c>
      <c r="I467">
        <v>28</v>
      </c>
      <c r="J467">
        <v>262</v>
      </c>
      <c r="K467">
        <v>28</v>
      </c>
      <c r="L467" t="s">
        <v>2248</v>
      </c>
    </row>
    <row r="468" spans="1:12" x14ac:dyDescent="0.3">
      <c r="A468" t="s">
        <v>2249</v>
      </c>
      <c r="B468" t="s">
        <v>2250</v>
      </c>
      <c r="D468" t="s">
        <v>13</v>
      </c>
      <c r="E468" t="s">
        <v>2251</v>
      </c>
      <c r="F468" t="b">
        <v>1</v>
      </c>
      <c r="G468" t="s">
        <v>2252</v>
      </c>
      <c r="H468" s="1">
        <f t="shared" si="7"/>
        <v>11</v>
      </c>
      <c r="I468">
        <v>141</v>
      </c>
      <c r="J468">
        <v>262</v>
      </c>
      <c r="K468">
        <v>610</v>
      </c>
      <c r="L468" t="s">
        <v>2253</v>
      </c>
    </row>
    <row r="469" spans="1:12" x14ac:dyDescent="0.3">
      <c r="A469" t="s">
        <v>2254</v>
      </c>
      <c r="B469" t="s">
        <v>2255</v>
      </c>
      <c r="D469" t="s">
        <v>310</v>
      </c>
      <c r="E469" t="s">
        <v>2256</v>
      </c>
      <c r="H469" s="1">
        <f t="shared" si="7"/>
        <v>1</v>
      </c>
      <c r="I469">
        <v>228</v>
      </c>
      <c r="J469">
        <v>262</v>
      </c>
      <c r="K469">
        <v>6</v>
      </c>
      <c r="L469" t="s">
        <v>2257</v>
      </c>
    </row>
    <row r="470" spans="1:12" x14ac:dyDescent="0.3">
      <c r="A470" t="s">
        <v>2258</v>
      </c>
      <c r="B470" t="s">
        <v>2259</v>
      </c>
      <c r="D470" t="s">
        <v>13</v>
      </c>
      <c r="E470" t="s">
        <v>2260</v>
      </c>
      <c r="F470" t="b">
        <v>1</v>
      </c>
      <c r="G470" t="s">
        <v>2261</v>
      </c>
      <c r="H470" s="1">
        <f t="shared" si="7"/>
        <v>6</v>
      </c>
      <c r="I470">
        <v>128</v>
      </c>
      <c r="J470">
        <v>262</v>
      </c>
      <c r="K470">
        <v>132</v>
      </c>
      <c r="L470" t="s">
        <v>2262</v>
      </c>
    </row>
    <row r="471" spans="1:12" x14ac:dyDescent="0.3">
      <c r="A471" t="s">
        <v>2263</v>
      </c>
      <c r="B471" t="s">
        <v>2264</v>
      </c>
      <c r="C471" t="s">
        <v>2265</v>
      </c>
      <c r="D471" t="s">
        <v>13</v>
      </c>
      <c r="E471" t="s">
        <v>2266</v>
      </c>
      <c r="F471" t="b">
        <v>1</v>
      </c>
      <c r="G471" t="s">
        <v>2267</v>
      </c>
      <c r="H471" s="1">
        <f t="shared" si="7"/>
        <v>8</v>
      </c>
      <c r="I471">
        <v>21</v>
      </c>
      <c r="J471">
        <v>261</v>
      </c>
      <c r="K471">
        <v>10</v>
      </c>
      <c r="L471" t="s">
        <v>2268</v>
      </c>
    </row>
    <row r="472" spans="1:12" x14ac:dyDescent="0.3">
      <c r="A472" t="s">
        <v>2269</v>
      </c>
      <c r="B472" t="s">
        <v>2270</v>
      </c>
      <c r="D472" t="s">
        <v>290</v>
      </c>
      <c r="G472" t="s">
        <v>2271</v>
      </c>
      <c r="H472" s="1">
        <f t="shared" si="7"/>
        <v>2</v>
      </c>
      <c r="I472">
        <v>56</v>
      </c>
      <c r="J472">
        <v>261</v>
      </c>
      <c r="K472">
        <v>79</v>
      </c>
      <c r="L472" t="s">
        <v>2272</v>
      </c>
    </row>
    <row r="473" spans="1:12" x14ac:dyDescent="0.3">
      <c r="A473" t="s">
        <v>2273</v>
      </c>
      <c r="B473" t="s">
        <v>2274</v>
      </c>
      <c r="D473" t="s">
        <v>13</v>
      </c>
      <c r="F473" t="b">
        <v>1</v>
      </c>
      <c r="G473" t="s">
        <v>2275</v>
      </c>
      <c r="H473" s="1">
        <f t="shared" si="7"/>
        <v>21</v>
      </c>
      <c r="I473">
        <v>77</v>
      </c>
      <c r="J473">
        <v>261</v>
      </c>
      <c r="K473">
        <v>54</v>
      </c>
      <c r="L473" t="s">
        <v>2276</v>
      </c>
    </row>
    <row r="474" spans="1:12" x14ac:dyDescent="0.3">
      <c r="A474" t="s">
        <v>2277</v>
      </c>
      <c r="B474" t="s">
        <v>2278</v>
      </c>
      <c r="C474" t="s">
        <v>2279</v>
      </c>
      <c r="D474" t="s">
        <v>30</v>
      </c>
      <c r="E474" t="s">
        <v>2280</v>
      </c>
      <c r="H474" s="1">
        <f t="shared" si="7"/>
        <v>1</v>
      </c>
      <c r="I474">
        <v>303</v>
      </c>
      <c r="J474">
        <v>260</v>
      </c>
      <c r="K474">
        <v>65</v>
      </c>
      <c r="L474" t="s">
        <v>2281</v>
      </c>
    </row>
    <row r="475" spans="1:12" x14ac:dyDescent="0.3">
      <c r="A475" t="s">
        <v>2282</v>
      </c>
      <c r="B475" t="s">
        <v>2283</v>
      </c>
      <c r="C475" t="s">
        <v>2284</v>
      </c>
      <c r="D475" t="s">
        <v>30</v>
      </c>
      <c r="H475" s="1">
        <f t="shared" si="7"/>
        <v>1</v>
      </c>
      <c r="I475">
        <v>25</v>
      </c>
      <c r="J475">
        <v>259</v>
      </c>
      <c r="K475">
        <v>25</v>
      </c>
      <c r="L475" t="s">
        <v>2285</v>
      </c>
    </row>
    <row r="476" spans="1:12" x14ac:dyDescent="0.3">
      <c r="A476" t="s">
        <v>2286</v>
      </c>
      <c r="B476" t="s">
        <v>2287</v>
      </c>
      <c r="C476" t="s">
        <v>1325</v>
      </c>
      <c r="D476" t="s">
        <v>13</v>
      </c>
      <c r="E476" t="s">
        <v>2288</v>
      </c>
      <c r="G476" t="s">
        <v>2289</v>
      </c>
      <c r="H476" s="1">
        <f t="shared" si="7"/>
        <v>3</v>
      </c>
      <c r="I476">
        <v>392</v>
      </c>
      <c r="J476">
        <v>257</v>
      </c>
      <c r="K476">
        <v>25</v>
      </c>
      <c r="L476" t="s">
        <v>2290</v>
      </c>
    </row>
    <row r="477" spans="1:12" x14ac:dyDescent="0.3">
      <c r="A477" t="s">
        <v>2291</v>
      </c>
      <c r="B477" t="s">
        <v>2292</v>
      </c>
      <c r="C477" t="s">
        <v>2293</v>
      </c>
      <c r="D477" t="s">
        <v>2294</v>
      </c>
      <c r="E477" t="s">
        <v>2295</v>
      </c>
      <c r="G477" t="s">
        <v>2296</v>
      </c>
      <c r="H477" s="1">
        <f t="shared" si="7"/>
        <v>13</v>
      </c>
      <c r="I477">
        <v>157</v>
      </c>
      <c r="J477">
        <v>256</v>
      </c>
      <c r="K477">
        <v>35</v>
      </c>
      <c r="L477" t="s">
        <v>2297</v>
      </c>
    </row>
    <row r="478" spans="1:12" x14ac:dyDescent="0.3">
      <c r="A478" t="s">
        <v>2298</v>
      </c>
      <c r="B478" t="s">
        <v>2299</v>
      </c>
      <c r="D478" t="s">
        <v>13</v>
      </c>
      <c r="E478" t="s">
        <v>2300</v>
      </c>
      <c r="F478" t="b">
        <v>1</v>
      </c>
      <c r="G478" t="s">
        <v>2301</v>
      </c>
      <c r="H478" s="1">
        <f t="shared" si="7"/>
        <v>2</v>
      </c>
      <c r="I478">
        <v>274</v>
      </c>
      <c r="J478">
        <v>256</v>
      </c>
      <c r="K478">
        <v>65</v>
      </c>
      <c r="L478" t="s">
        <v>2302</v>
      </c>
    </row>
    <row r="479" spans="1:12" x14ac:dyDescent="0.3">
      <c r="A479" t="s">
        <v>2303</v>
      </c>
      <c r="B479" t="s">
        <v>2303</v>
      </c>
      <c r="D479" t="s">
        <v>30</v>
      </c>
      <c r="F479" t="b">
        <v>1</v>
      </c>
      <c r="H479" s="1">
        <f t="shared" si="7"/>
        <v>1</v>
      </c>
      <c r="I479">
        <v>20</v>
      </c>
      <c r="J479">
        <v>256</v>
      </c>
      <c r="K479">
        <v>38</v>
      </c>
      <c r="L479" t="s">
        <v>2304</v>
      </c>
    </row>
    <row r="480" spans="1:12" x14ac:dyDescent="0.3">
      <c r="A480" t="s">
        <v>2305</v>
      </c>
      <c r="B480" t="s">
        <v>2306</v>
      </c>
      <c r="C480" t="s">
        <v>2307</v>
      </c>
      <c r="D480" t="s">
        <v>30</v>
      </c>
      <c r="E480" t="s">
        <v>2308</v>
      </c>
      <c r="F480" t="b">
        <v>1</v>
      </c>
      <c r="G480" t="s">
        <v>2309</v>
      </c>
      <c r="H480" s="1">
        <f t="shared" si="7"/>
        <v>11</v>
      </c>
      <c r="I480">
        <v>72</v>
      </c>
      <c r="J480">
        <v>255</v>
      </c>
      <c r="K480">
        <v>23</v>
      </c>
      <c r="L480" t="s">
        <v>2310</v>
      </c>
    </row>
    <row r="481" spans="1:12" x14ac:dyDescent="0.3">
      <c r="A481" t="s">
        <v>2311</v>
      </c>
      <c r="B481" t="s">
        <v>2312</v>
      </c>
      <c r="C481" t="s">
        <v>2313</v>
      </c>
      <c r="D481" t="s">
        <v>13</v>
      </c>
      <c r="F481" t="b">
        <v>1</v>
      </c>
      <c r="G481" t="s">
        <v>2314</v>
      </c>
      <c r="H481" s="1">
        <f t="shared" si="7"/>
        <v>11</v>
      </c>
      <c r="I481">
        <v>58</v>
      </c>
      <c r="J481">
        <v>255</v>
      </c>
      <c r="K481">
        <v>71</v>
      </c>
      <c r="L481" t="s">
        <v>2315</v>
      </c>
    </row>
    <row r="482" spans="1:12" x14ac:dyDescent="0.3">
      <c r="A482" t="s">
        <v>2316</v>
      </c>
      <c r="B482" t="s">
        <v>2317</v>
      </c>
      <c r="C482" t="s">
        <v>2318</v>
      </c>
      <c r="D482" t="s">
        <v>13</v>
      </c>
      <c r="E482" t="s">
        <v>2319</v>
      </c>
      <c r="F482" t="b">
        <v>1</v>
      </c>
      <c r="G482" t="s">
        <v>2320</v>
      </c>
      <c r="H482" s="1">
        <f t="shared" si="7"/>
        <v>5</v>
      </c>
      <c r="I482">
        <v>23</v>
      </c>
      <c r="J482">
        <v>254</v>
      </c>
      <c r="K482">
        <v>73</v>
      </c>
      <c r="L482" t="s">
        <v>2321</v>
      </c>
    </row>
    <row r="483" spans="1:12" x14ac:dyDescent="0.3">
      <c r="A483" t="s">
        <v>2322</v>
      </c>
      <c r="B483" t="s">
        <v>2323</v>
      </c>
      <c r="C483" t="s">
        <v>2324</v>
      </c>
      <c r="D483" t="s">
        <v>30</v>
      </c>
      <c r="E483" t="s">
        <v>2325</v>
      </c>
      <c r="F483" t="b">
        <v>1</v>
      </c>
      <c r="G483" t="s">
        <v>2326</v>
      </c>
      <c r="H483" s="1">
        <f t="shared" si="7"/>
        <v>2</v>
      </c>
      <c r="I483">
        <v>24</v>
      </c>
      <c r="J483">
        <v>252</v>
      </c>
      <c r="K483">
        <v>60</v>
      </c>
      <c r="L483" t="s">
        <v>2327</v>
      </c>
    </row>
    <row r="484" spans="1:12" x14ac:dyDescent="0.3">
      <c r="A484" t="s">
        <v>2328</v>
      </c>
      <c r="B484" t="s">
        <v>2329</v>
      </c>
      <c r="C484" t="s">
        <v>2330</v>
      </c>
      <c r="D484" t="s">
        <v>13</v>
      </c>
      <c r="E484" t="s">
        <v>2331</v>
      </c>
      <c r="G484" t="s">
        <v>2332</v>
      </c>
      <c r="H484" s="1">
        <f t="shared" si="7"/>
        <v>1</v>
      </c>
      <c r="I484">
        <v>129</v>
      </c>
      <c r="J484">
        <v>252</v>
      </c>
      <c r="K484">
        <v>10</v>
      </c>
      <c r="L484" t="s">
        <v>2333</v>
      </c>
    </row>
    <row r="485" spans="1:12" x14ac:dyDescent="0.3">
      <c r="A485" t="s">
        <v>2334</v>
      </c>
      <c r="B485" t="s">
        <v>2335</v>
      </c>
      <c r="C485" t="s">
        <v>2336</v>
      </c>
      <c r="D485" t="s">
        <v>13</v>
      </c>
      <c r="E485" t="s">
        <v>2337</v>
      </c>
      <c r="F485" t="b">
        <v>1</v>
      </c>
      <c r="G485" t="s">
        <v>2338</v>
      </c>
      <c r="H485" s="1">
        <f t="shared" si="7"/>
        <v>26</v>
      </c>
      <c r="I485">
        <v>153</v>
      </c>
      <c r="J485">
        <v>251</v>
      </c>
      <c r="K485">
        <v>231</v>
      </c>
      <c r="L485" t="s">
        <v>2339</v>
      </c>
    </row>
    <row r="486" spans="1:12" x14ac:dyDescent="0.3">
      <c r="A486" t="s">
        <v>2340</v>
      </c>
      <c r="B486" t="s">
        <v>2341</v>
      </c>
      <c r="C486" t="s">
        <v>1769</v>
      </c>
      <c r="D486" t="s">
        <v>13</v>
      </c>
      <c r="F486" t="b">
        <v>1</v>
      </c>
      <c r="G486" t="s">
        <v>2342</v>
      </c>
      <c r="H486" s="1">
        <f t="shared" si="7"/>
        <v>2</v>
      </c>
      <c r="I486">
        <v>97</v>
      </c>
      <c r="J486">
        <v>251</v>
      </c>
      <c r="K486">
        <v>395</v>
      </c>
      <c r="L486" t="s">
        <v>2343</v>
      </c>
    </row>
    <row r="487" spans="1:12" x14ac:dyDescent="0.3">
      <c r="A487" t="s">
        <v>2344</v>
      </c>
      <c r="B487" t="s">
        <v>2345</v>
      </c>
      <c r="D487" t="s">
        <v>13</v>
      </c>
      <c r="E487" t="s">
        <v>2346</v>
      </c>
      <c r="F487" t="b">
        <v>1</v>
      </c>
      <c r="G487" t="s">
        <v>2347</v>
      </c>
      <c r="H487" s="1">
        <f t="shared" si="7"/>
        <v>15</v>
      </c>
      <c r="I487">
        <v>46</v>
      </c>
      <c r="J487">
        <v>251</v>
      </c>
      <c r="K487">
        <v>42</v>
      </c>
      <c r="L487" t="s">
        <v>2348</v>
      </c>
    </row>
    <row r="488" spans="1:12" x14ac:dyDescent="0.3">
      <c r="A488" t="s">
        <v>2349</v>
      </c>
      <c r="B488" t="s">
        <v>2350</v>
      </c>
      <c r="C488" t="s">
        <v>2351</v>
      </c>
      <c r="D488" t="s">
        <v>30</v>
      </c>
      <c r="G488" t="s">
        <v>2352</v>
      </c>
      <c r="H488" s="1">
        <f t="shared" si="7"/>
        <v>7</v>
      </c>
      <c r="I488">
        <v>43</v>
      </c>
      <c r="J488">
        <v>250</v>
      </c>
      <c r="K488">
        <v>9</v>
      </c>
      <c r="L488" t="s">
        <v>2353</v>
      </c>
    </row>
    <row r="489" spans="1:12" ht="201.6" x14ac:dyDescent="0.3">
      <c r="A489" t="s">
        <v>2354</v>
      </c>
      <c r="B489" t="s">
        <v>2355</v>
      </c>
      <c r="C489" t="s">
        <v>2356</v>
      </c>
      <c r="D489" t="s">
        <v>13</v>
      </c>
      <c r="E489" t="s">
        <v>2357</v>
      </c>
      <c r="G489" s="1" t="s">
        <v>2358</v>
      </c>
      <c r="H489" s="1">
        <f t="shared" si="7"/>
        <v>12</v>
      </c>
      <c r="I489">
        <v>74</v>
      </c>
      <c r="J489">
        <v>250</v>
      </c>
      <c r="K489">
        <v>4</v>
      </c>
      <c r="L489" t="s">
        <v>2359</v>
      </c>
    </row>
    <row r="490" spans="1:12" x14ac:dyDescent="0.3">
      <c r="A490" t="s">
        <v>2360</v>
      </c>
      <c r="B490" t="s">
        <v>2361</v>
      </c>
      <c r="C490" t="s">
        <v>2362</v>
      </c>
      <c r="D490" t="s">
        <v>30</v>
      </c>
      <c r="E490" t="s">
        <v>2363</v>
      </c>
      <c r="F490" t="b">
        <v>1</v>
      </c>
      <c r="G490" t="s">
        <v>2364</v>
      </c>
      <c r="H490" s="1">
        <f t="shared" si="7"/>
        <v>9</v>
      </c>
      <c r="I490">
        <v>83</v>
      </c>
      <c r="J490">
        <v>249</v>
      </c>
      <c r="K490">
        <v>51</v>
      </c>
      <c r="L490" t="s">
        <v>2365</v>
      </c>
    </row>
    <row r="491" spans="1:12" x14ac:dyDescent="0.3">
      <c r="A491" t="s">
        <v>2366</v>
      </c>
      <c r="B491" t="s">
        <v>2367</v>
      </c>
      <c r="D491" t="s">
        <v>13</v>
      </c>
      <c r="H491" s="1">
        <f t="shared" si="7"/>
        <v>1</v>
      </c>
      <c r="I491">
        <v>46</v>
      </c>
      <c r="J491">
        <v>249</v>
      </c>
      <c r="K491">
        <v>6</v>
      </c>
      <c r="L491" t="s">
        <v>2368</v>
      </c>
    </row>
    <row r="492" spans="1:12" x14ac:dyDescent="0.3">
      <c r="A492" t="s">
        <v>2369</v>
      </c>
      <c r="B492" t="s">
        <v>2370</v>
      </c>
      <c r="D492" t="s">
        <v>1493</v>
      </c>
      <c r="E492" t="s">
        <v>2371</v>
      </c>
      <c r="F492" t="b">
        <v>1</v>
      </c>
      <c r="G492" t="s">
        <v>2372</v>
      </c>
      <c r="H492" s="1">
        <f t="shared" si="7"/>
        <v>17</v>
      </c>
      <c r="I492">
        <v>190</v>
      </c>
      <c r="J492">
        <v>248</v>
      </c>
      <c r="K492">
        <v>223</v>
      </c>
      <c r="L492" t="s">
        <v>2373</v>
      </c>
    </row>
    <row r="493" spans="1:12" x14ac:dyDescent="0.3">
      <c r="A493" t="s">
        <v>2374</v>
      </c>
      <c r="B493" t="s">
        <v>2375</v>
      </c>
      <c r="C493" t="s">
        <v>2376</v>
      </c>
      <c r="D493" t="s">
        <v>30</v>
      </c>
      <c r="E493" t="s">
        <v>2377</v>
      </c>
      <c r="F493" t="b">
        <v>1</v>
      </c>
      <c r="G493" t="s">
        <v>2378</v>
      </c>
      <c r="H493" s="1">
        <f t="shared" si="7"/>
        <v>5</v>
      </c>
      <c r="I493">
        <v>123</v>
      </c>
      <c r="J493">
        <v>248</v>
      </c>
      <c r="K493">
        <v>19</v>
      </c>
      <c r="L493" t="s">
        <v>2379</v>
      </c>
    </row>
    <row r="494" spans="1:12" ht="230.4" x14ac:dyDescent="0.3">
      <c r="A494" t="s">
        <v>2380</v>
      </c>
      <c r="B494" t="s">
        <v>2381</v>
      </c>
      <c r="C494" t="s">
        <v>1035</v>
      </c>
      <c r="D494" t="s">
        <v>13</v>
      </c>
      <c r="E494" t="s">
        <v>2382</v>
      </c>
      <c r="F494" t="b">
        <v>1</v>
      </c>
      <c r="G494" s="1" t="s">
        <v>2383</v>
      </c>
      <c r="H494" s="1">
        <f t="shared" si="7"/>
        <v>14</v>
      </c>
      <c r="I494">
        <v>78</v>
      </c>
      <c r="J494">
        <v>248</v>
      </c>
      <c r="K494">
        <v>2</v>
      </c>
      <c r="L494" t="s">
        <v>2384</v>
      </c>
    </row>
    <row r="495" spans="1:12" x14ac:dyDescent="0.3">
      <c r="A495" t="s">
        <v>2385</v>
      </c>
      <c r="B495" t="s">
        <v>2386</v>
      </c>
      <c r="D495" t="s">
        <v>30</v>
      </c>
      <c r="G495" t="s">
        <v>2387</v>
      </c>
      <c r="H495" s="1">
        <f t="shared" si="7"/>
        <v>22</v>
      </c>
      <c r="I495">
        <v>70</v>
      </c>
      <c r="J495">
        <v>248</v>
      </c>
      <c r="K495">
        <v>46</v>
      </c>
      <c r="L495" t="s">
        <v>2388</v>
      </c>
    </row>
    <row r="496" spans="1:12" x14ac:dyDescent="0.3">
      <c r="A496" t="s">
        <v>2389</v>
      </c>
      <c r="B496" t="s">
        <v>2390</v>
      </c>
      <c r="C496" t="s">
        <v>2391</v>
      </c>
      <c r="D496" t="s">
        <v>30</v>
      </c>
      <c r="E496" t="s">
        <v>2392</v>
      </c>
      <c r="H496" s="1">
        <f t="shared" si="7"/>
        <v>1</v>
      </c>
      <c r="I496">
        <v>13</v>
      </c>
      <c r="J496">
        <v>245</v>
      </c>
      <c r="K496">
        <v>86</v>
      </c>
      <c r="L496" t="s">
        <v>2393</v>
      </c>
    </row>
    <row r="497" spans="1:12" ht="273.60000000000002" x14ac:dyDescent="0.3">
      <c r="A497" t="s">
        <v>2394</v>
      </c>
      <c r="B497" t="s">
        <v>2395</v>
      </c>
      <c r="C497" t="s">
        <v>2396</v>
      </c>
      <c r="D497" t="s">
        <v>30</v>
      </c>
      <c r="E497" t="s">
        <v>2397</v>
      </c>
      <c r="F497" t="b">
        <v>1</v>
      </c>
      <c r="G497" s="1" t="s">
        <v>2398</v>
      </c>
      <c r="H497" s="1">
        <f t="shared" si="7"/>
        <v>11</v>
      </c>
      <c r="I497">
        <v>177</v>
      </c>
      <c r="J497">
        <v>244</v>
      </c>
      <c r="K497">
        <v>509</v>
      </c>
      <c r="L497" t="s">
        <v>2399</v>
      </c>
    </row>
    <row r="498" spans="1:12" x14ac:dyDescent="0.3">
      <c r="A498" t="s">
        <v>2400</v>
      </c>
      <c r="B498" t="s">
        <v>2401</v>
      </c>
      <c r="C498" t="s">
        <v>2402</v>
      </c>
      <c r="D498" t="s">
        <v>30</v>
      </c>
      <c r="E498" t="s">
        <v>2403</v>
      </c>
      <c r="F498" t="b">
        <v>1</v>
      </c>
      <c r="G498" t="s">
        <v>2404</v>
      </c>
      <c r="H498" s="1">
        <f t="shared" si="7"/>
        <v>3</v>
      </c>
      <c r="I498">
        <v>49</v>
      </c>
      <c r="J498">
        <v>243</v>
      </c>
      <c r="K498">
        <v>10</v>
      </c>
      <c r="L498" t="s">
        <v>2405</v>
      </c>
    </row>
    <row r="499" spans="1:12" x14ac:dyDescent="0.3">
      <c r="A499" t="s">
        <v>2406</v>
      </c>
      <c r="B499" t="s">
        <v>2407</v>
      </c>
      <c r="C499" t="s">
        <v>2408</v>
      </c>
      <c r="D499" t="s">
        <v>30</v>
      </c>
      <c r="E499" t="s">
        <v>2409</v>
      </c>
      <c r="H499" s="1">
        <f t="shared" si="7"/>
        <v>1</v>
      </c>
      <c r="I499">
        <v>69</v>
      </c>
      <c r="J499">
        <v>243</v>
      </c>
      <c r="K499">
        <v>19</v>
      </c>
      <c r="L499" t="s">
        <v>2410</v>
      </c>
    </row>
    <row r="500" spans="1:12" x14ac:dyDescent="0.3">
      <c r="A500" t="s">
        <v>2411</v>
      </c>
      <c r="B500" t="s">
        <v>2412</v>
      </c>
      <c r="C500" t="s">
        <v>2413</v>
      </c>
      <c r="D500" t="s">
        <v>30</v>
      </c>
      <c r="F500" t="b">
        <v>1</v>
      </c>
      <c r="H500" s="1">
        <f t="shared" si="7"/>
        <v>1</v>
      </c>
      <c r="I500">
        <v>56</v>
      </c>
      <c r="J500">
        <v>243</v>
      </c>
      <c r="K500">
        <v>50</v>
      </c>
      <c r="L500" t="s">
        <v>2414</v>
      </c>
    </row>
    <row r="501" spans="1:12" x14ac:dyDescent="0.3">
      <c r="A501" t="s">
        <v>2415</v>
      </c>
      <c r="B501" t="s">
        <v>2416</v>
      </c>
      <c r="C501" t="s">
        <v>2417</v>
      </c>
      <c r="D501" t="s">
        <v>30</v>
      </c>
      <c r="E501" t="s">
        <v>2418</v>
      </c>
      <c r="G501" t="s">
        <v>2419</v>
      </c>
      <c r="H501" s="1">
        <f t="shared" si="7"/>
        <v>8</v>
      </c>
      <c r="I501">
        <v>45</v>
      </c>
      <c r="J501">
        <v>242</v>
      </c>
      <c r="K501">
        <v>25</v>
      </c>
      <c r="L501" t="s">
        <v>2420</v>
      </c>
    </row>
    <row r="502" spans="1:12" x14ac:dyDescent="0.3">
      <c r="A502" t="s">
        <v>2421</v>
      </c>
      <c r="B502" t="s">
        <v>2422</v>
      </c>
      <c r="C502" t="s">
        <v>2423</v>
      </c>
      <c r="D502" t="s">
        <v>13</v>
      </c>
      <c r="E502" t="s">
        <v>2424</v>
      </c>
      <c r="G502" t="s">
        <v>2425</v>
      </c>
      <c r="H502" s="1">
        <f t="shared" si="7"/>
        <v>2</v>
      </c>
      <c r="I502">
        <v>78</v>
      </c>
      <c r="J502">
        <v>242</v>
      </c>
      <c r="K502">
        <v>127</v>
      </c>
      <c r="L502" t="s">
        <v>2426</v>
      </c>
    </row>
    <row r="503" spans="1:12" x14ac:dyDescent="0.3">
      <c r="A503" t="s">
        <v>2427</v>
      </c>
      <c r="B503" t="s">
        <v>2428</v>
      </c>
      <c r="C503" t="s">
        <v>2429</v>
      </c>
      <c r="D503" t="s">
        <v>13</v>
      </c>
      <c r="F503" t="b">
        <v>1</v>
      </c>
      <c r="G503" t="s">
        <v>648</v>
      </c>
      <c r="H503" s="1">
        <f t="shared" si="7"/>
        <v>2</v>
      </c>
      <c r="I503">
        <v>55</v>
      </c>
      <c r="J503">
        <v>241</v>
      </c>
      <c r="K503">
        <v>177</v>
      </c>
      <c r="L503" t="s">
        <v>2430</v>
      </c>
    </row>
    <row r="504" spans="1:12" x14ac:dyDescent="0.3">
      <c r="A504" t="s">
        <v>2431</v>
      </c>
      <c r="B504" t="s">
        <v>2432</v>
      </c>
      <c r="D504" t="s">
        <v>13</v>
      </c>
      <c r="G504" t="s">
        <v>2433</v>
      </c>
      <c r="H504" s="1">
        <f t="shared" si="7"/>
        <v>2</v>
      </c>
      <c r="I504">
        <v>94</v>
      </c>
      <c r="J504">
        <v>240</v>
      </c>
      <c r="K504">
        <v>195</v>
      </c>
      <c r="L504" t="s">
        <v>2434</v>
      </c>
    </row>
    <row r="505" spans="1:12" x14ac:dyDescent="0.3">
      <c r="A505" t="s">
        <v>2435</v>
      </c>
      <c r="B505" t="s">
        <v>2436</v>
      </c>
      <c r="D505" t="s">
        <v>30</v>
      </c>
      <c r="F505" t="b">
        <v>1</v>
      </c>
      <c r="G505" t="s">
        <v>2437</v>
      </c>
      <c r="H505" s="1">
        <f t="shared" si="7"/>
        <v>1</v>
      </c>
      <c r="I505">
        <v>179</v>
      </c>
      <c r="J505">
        <v>239</v>
      </c>
      <c r="K505">
        <v>86</v>
      </c>
      <c r="L505" t="s">
        <v>2438</v>
      </c>
    </row>
    <row r="506" spans="1:12" x14ac:dyDescent="0.3">
      <c r="A506" t="s">
        <v>2439</v>
      </c>
      <c r="B506" t="s">
        <v>2440</v>
      </c>
      <c r="C506" t="s">
        <v>1040</v>
      </c>
      <c r="D506" t="s">
        <v>30</v>
      </c>
      <c r="H506" s="1">
        <f t="shared" si="7"/>
        <v>1</v>
      </c>
      <c r="I506">
        <v>120</v>
      </c>
      <c r="J506">
        <v>239</v>
      </c>
      <c r="K506">
        <v>128</v>
      </c>
      <c r="L506" t="s">
        <v>2441</v>
      </c>
    </row>
    <row r="507" spans="1:12" ht="230.4" x14ac:dyDescent="0.3">
      <c r="A507" t="s">
        <v>2442</v>
      </c>
      <c r="D507" t="s">
        <v>30</v>
      </c>
      <c r="G507" s="1" t="s">
        <v>2443</v>
      </c>
      <c r="H507" s="1">
        <f t="shared" si="7"/>
        <v>15</v>
      </c>
      <c r="I507">
        <v>38</v>
      </c>
      <c r="J507">
        <v>238</v>
      </c>
      <c r="K507">
        <v>0</v>
      </c>
      <c r="L507" t="s">
        <v>2444</v>
      </c>
    </row>
    <row r="508" spans="1:12" x14ac:dyDescent="0.3">
      <c r="A508" t="s">
        <v>2445</v>
      </c>
      <c r="B508" t="s">
        <v>2446</v>
      </c>
      <c r="C508" t="s">
        <v>1040</v>
      </c>
      <c r="D508" t="s">
        <v>30</v>
      </c>
      <c r="H508" s="1">
        <f t="shared" si="7"/>
        <v>1</v>
      </c>
      <c r="I508">
        <v>82</v>
      </c>
      <c r="J508">
        <v>237</v>
      </c>
      <c r="K508">
        <v>60</v>
      </c>
      <c r="L508" t="s">
        <v>2447</v>
      </c>
    </row>
    <row r="509" spans="1:12" x14ac:dyDescent="0.3">
      <c r="A509" t="s">
        <v>2448</v>
      </c>
      <c r="B509" t="s">
        <v>2449</v>
      </c>
      <c r="C509" t="s">
        <v>2450</v>
      </c>
      <c r="D509" t="s">
        <v>30</v>
      </c>
      <c r="E509" t="s">
        <v>2451</v>
      </c>
      <c r="F509" t="b">
        <v>1</v>
      </c>
      <c r="G509" t="s">
        <v>2452</v>
      </c>
      <c r="H509" s="1">
        <f t="shared" si="7"/>
        <v>4</v>
      </c>
      <c r="I509">
        <v>219</v>
      </c>
      <c r="J509">
        <v>237</v>
      </c>
      <c r="K509">
        <v>56</v>
      </c>
      <c r="L509" t="s">
        <v>2453</v>
      </c>
    </row>
    <row r="510" spans="1:12" x14ac:dyDescent="0.3">
      <c r="A510" t="s">
        <v>2454</v>
      </c>
      <c r="B510" t="s">
        <v>2455</v>
      </c>
      <c r="D510" t="s">
        <v>13</v>
      </c>
      <c r="E510" t="s">
        <v>2456</v>
      </c>
      <c r="F510" t="b">
        <v>1</v>
      </c>
      <c r="H510" s="1">
        <f t="shared" si="7"/>
        <v>1</v>
      </c>
      <c r="I510">
        <v>70</v>
      </c>
      <c r="J510">
        <v>237</v>
      </c>
      <c r="K510">
        <v>9</v>
      </c>
      <c r="L510" t="s">
        <v>2457</v>
      </c>
    </row>
    <row r="511" spans="1:12" x14ac:dyDescent="0.3">
      <c r="A511" t="s">
        <v>2458</v>
      </c>
      <c r="B511" t="s">
        <v>2459</v>
      </c>
      <c r="D511" t="s">
        <v>13</v>
      </c>
      <c r="E511" t="s">
        <v>2460</v>
      </c>
      <c r="G511" t="s">
        <v>2461</v>
      </c>
      <c r="H511" s="1">
        <f t="shared" si="7"/>
        <v>6</v>
      </c>
      <c r="I511">
        <v>71</v>
      </c>
      <c r="J511">
        <v>236</v>
      </c>
      <c r="K511">
        <v>12</v>
      </c>
      <c r="L511" t="s">
        <v>2462</v>
      </c>
    </row>
    <row r="512" spans="1:12" x14ac:dyDescent="0.3">
      <c r="A512" t="s">
        <v>2463</v>
      </c>
      <c r="B512" t="s">
        <v>2464</v>
      </c>
      <c r="C512" t="s">
        <v>2465</v>
      </c>
      <c r="D512" t="s">
        <v>13</v>
      </c>
      <c r="E512" t="s">
        <v>2466</v>
      </c>
      <c r="G512" t="s">
        <v>2467</v>
      </c>
      <c r="H512" s="1">
        <f t="shared" si="7"/>
        <v>3</v>
      </c>
      <c r="I512">
        <v>22</v>
      </c>
      <c r="J512">
        <v>235</v>
      </c>
      <c r="K512">
        <v>102</v>
      </c>
      <c r="L512" t="s">
        <v>2468</v>
      </c>
    </row>
    <row r="513" spans="1:12" x14ac:dyDescent="0.3">
      <c r="A513" t="s">
        <v>2469</v>
      </c>
      <c r="B513" t="s">
        <v>2470</v>
      </c>
      <c r="D513" t="s">
        <v>13</v>
      </c>
      <c r="F513" t="b">
        <v>1</v>
      </c>
      <c r="H513" s="1">
        <f t="shared" si="7"/>
        <v>1</v>
      </c>
      <c r="I513">
        <v>26</v>
      </c>
      <c r="J513">
        <v>235</v>
      </c>
      <c r="K513">
        <v>18</v>
      </c>
      <c r="L513" t="s">
        <v>2471</v>
      </c>
    </row>
    <row r="514" spans="1:12" ht="201.6" x14ac:dyDescent="0.3">
      <c r="A514" t="s">
        <v>2472</v>
      </c>
      <c r="B514" t="s">
        <v>2473</v>
      </c>
      <c r="C514" t="s">
        <v>2474</v>
      </c>
      <c r="D514" t="s">
        <v>30</v>
      </c>
      <c r="E514" t="s">
        <v>2475</v>
      </c>
      <c r="F514" t="b">
        <v>1</v>
      </c>
      <c r="G514" s="1" t="s">
        <v>2476</v>
      </c>
      <c r="H514" s="1">
        <f t="shared" si="7"/>
        <v>11</v>
      </c>
      <c r="I514">
        <v>21</v>
      </c>
      <c r="J514">
        <v>235</v>
      </c>
      <c r="K514">
        <v>101</v>
      </c>
      <c r="L514" t="s">
        <v>2477</v>
      </c>
    </row>
    <row r="515" spans="1:12" x14ac:dyDescent="0.3">
      <c r="A515" t="s">
        <v>2478</v>
      </c>
      <c r="B515" t="s">
        <v>2479</v>
      </c>
      <c r="C515" t="s">
        <v>784</v>
      </c>
      <c r="D515" t="s">
        <v>30</v>
      </c>
      <c r="G515" t="s">
        <v>2480</v>
      </c>
      <c r="H515" s="1">
        <f t="shared" ref="H515:H578" si="8">LEN(TRIM(G515))-LEN(SUBSTITUTE(TRIM(G515)," ",""))+1</f>
        <v>4</v>
      </c>
      <c r="I515">
        <v>166</v>
      </c>
      <c r="J515">
        <v>234</v>
      </c>
      <c r="K515">
        <v>29</v>
      </c>
      <c r="L515" t="s">
        <v>2481</v>
      </c>
    </row>
    <row r="516" spans="1:12" x14ac:dyDescent="0.3">
      <c r="A516" t="s">
        <v>2482</v>
      </c>
      <c r="B516" t="s">
        <v>2483</v>
      </c>
      <c r="C516" t="s">
        <v>2484</v>
      </c>
      <c r="D516" t="s">
        <v>30</v>
      </c>
      <c r="E516" t="s">
        <v>2485</v>
      </c>
      <c r="G516" t="s">
        <v>2486</v>
      </c>
      <c r="H516" s="1">
        <f t="shared" si="8"/>
        <v>9</v>
      </c>
      <c r="I516">
        <v>74</v>
      </c>
      <c r="J516">
        <v>234</v>
      </c>
      <c r="K516">
        <v>27</v>
      </c>
      <c r="L516" t="s">
        <v>2487</v>
      </c>
    </row>
    <row r="517" spans="1:12" ht="244.8" x14ac:dyDescent="0.3">
      <c r="A517" t="s">
        <v>2488</v>
      </c>
      <c r="B517" t="s">
        <v>2489</v>
      </c>
      <c r="C517" t="s">
        <v>2490</v>
      </c>
      <c r="D517" t="s">
        <v>30</v>
      </c>
      <c r="G517" s="1" t="s">
        <v>2491</v>
      </c>
      <c r="H517" s="1">
        <f t="shared" si="8"/>
        <v>17</v>
      </c>
      <c r="I517">
        <v>34</v>
      </c>
      <c r="J517">
        <v>233</v>
      </c>
      <c r="K517">
        <v>113</v>
      </c>
      <c r="L517" t="s">
        <v>2492</v>
      </c>
    </row>
    <row r="518" spans="1:12" ht="144" x14ac:dyDescent="0.3">
      <c r="A518" t="s">
        <v>2493</v>
      </c>
      <c r="B518" t="s">
        <v>2494</v>
      </c>
      <c r="C518" t="s">
        <v>2495</v>
      </c>
      <c r="D518" t="s">
        <v>13</v>
      </c>
      <c r="E518" t="s">
        <v>2496</v>
      </c>
      <c r="F518" t="b">
        <v>1</v>
      </c>
      <c r="G518" s="1" t="s">
        <v>2497</v>
      </c>
      <c r="H518" s="1">
        <f t="shared" si="8"/>
        <v>8</v>
      </c>
      <c r="I518">
        <v>52</v>
      </c>
      <c r="J518">
        <v>233</v>
      </c>
      <c r="K518">
        <v>97</v>
      </c>
      <c r="L518" t="s">
        <v>2498</v>
      </c>
    </row>
    <row r="519" spans="1:12" x14ac:dyDescent="0.3">
      <c r="A519" t="s">
        <v>2499</v>
      </c>
      <c r="B519" t="s">
        <v>2500</v>
      </c>
      <c r="C519" t="s">
        <v>2501</v>
      </c>
      <c r="D519" t="s">
        <v>30</v>
      </c>
      <c r="E519" t="s">
        <v>2502</v>
      </c>
      <c r="H519" s="1">
        <f t="shared" si="8"/>
        <v>1</v>
      </c>
      <c r="I519">
        <v>68</v>
      </c>
      <c r="J519">
        <v>233</v>
      </c>
      <c r="K519">
        <v>69</v>
      </c>
      <c r="L519" t="s">
        <v>2503</v>
      </c>
    </row>
    <row r="520" spans="1:12" x14ac:dyDescent="0.3">
      <c r="A520" t="s">
        <v>2504</v>
      </c>
      <c r="B520" t="s">
        <v>2505</v>
      </c>
      <c r="D520" t="s">
        <v>30</v>
      </c>
      <c r="F520" t="b">
        <v>1</v>
      </c>
      <c r="G520" t="s">
        <v>2506</v>
      </c>
      <c r="H520" s="1">
        <f t="shared" si="8"/>
        <v>15</v>
      </c>
      <c r="I520">
        <v>60</v>
      </c>
      <c r="J520">
        <v>232</v>
      </c>
      <c r="K520">
        <v>31</v>
      </c>
      <c r="L520" t="s">
        <v>2507</v>
      </c>
    </row>
    <row r="521" spans="1:12" x14ac:dyDescent="0.3">
      <c r="A521" t="s">
        <v>2508</v>
      </c>
      <c r="B521" t="s">
        <v>2509</v>
      </c>
      <c r="D521" t="s">
        <v>13</v>
      </c>
      <c r="E521" t="s">
        <v>2510</v>
      </c>
      <c r="H521" s="1">
        <f t="shared" si="8"/>
        <v>1</v>
      </c>
      <c r="I521">
        <v>171</v>
      </c>
      <c r="J521">
        <v>232</v>
      </c>
      <c r="K521">
        <v>67</v>
      </c>
      <c r="L521" t="s">
        <v>2511</v>
      </c>
    </row>
    <row r="522" spans="1:12" ht="172.8" x14ac:dyDescent="0.3">
      <c r="A522" t="s">
        <v>2512</v>
      </c>
      <c r="B522" t="s">
        <v>2513</v>
      </c>
      <c r="C522" t="s">
        <v>2514</v>
      </c>
      <c r="D522" t="s">
        <v>30</v>
      </c>
      <c r="E522" t="s">
        <v>2515</v>
      </c>
      <c r="F522" t="b">
        <v>1</v>
      </c>
      <c r="G522" s="1" t="s">
        <v>2516</v>
      </c>
      <c r="H522" s="1">
        <f t="shared" si="8"/>
        <v>15</v>
      </c>
      <c r="I522">
        <v>74</v>
      </c>
      <c r="J522">
        <v>232</v>
      </c>
      <c r="K522">
        <v>44</v>
      </c>
      <c r="L522" t="s">
        <v>2517</v>
      </c>
    </row>
    <row r="523" spans="1:12" x14ac:dyDescent="0.3">
      <c r="A523" t="s">
        <v>2518</v>
      </c>
      <c r="B523" t="s">
        <v>2519</v>
      </c>
      <c r="C523" t="s">
        <v>2520</v>
      </c>
      <c r="D523" t="s">
        <v>13</v>
      </c>
      <c r="H523" s="1">
        <f t="shared" si="8"/>
        <v>1</v>
      </c>
      <c r="I523">
        <v>43</v>
      </c>
      <c r="J523">
        <v>232</v>
      </c>
      <c r="K523">
        <v>33</v>
      </c>
      <c r="L523" t="s">
        <v>2521</v>
      </c>
    </row>
    <row r="524" spans="1:12" x14ac:dyDescent="0.3">
      <c r="A524" t="s">
        <v>2522</v>
      </c>
      <c r="B524" t="s">
        <v>2523</v>
      </c>
      <c r="D524" t="s">
        <v>13</v>
      </c>
      <c r="H524" s="1">
        <f t="shared" si="8"/>
        <v>1</v>
      </c>
      <c r="I524">
        <v>80</v>
      </c>
      <c r="J524">
        <v>231</v>
      </c>
      <c r="K524">
        <v>9</v>
      </c>
      <c r="L524" t="s">
        <v>2524</v>
      </c>
    </row>
    <row r="525" spans="1:12" ht="72" x14ac:dyDescent="0.3">
      <c r="A525" t="s">
        <v>2525</v>
      </c>
      <c r="B525" t="s">
        <v>2526</v>
      </c>
      <c r="C525" t="s">
        <v>2527</v>
      </c>
      <c r="D525" t="s">
        <v>30</v>
      </c>
      <c r="E525" t="s">
        <v>2528</v>
      </c>
      <c r="G525" s="1" t="s">
        <v>2529</v>
      </c>
      <c r="H525" s="1">
        <f t="shared" si="8"/>
        <v>2</v>
      </c>
      <c r="I525">
        <v>59</v>
      </c>
      <c r="J525">
        <v>231</v>
      </c>
      <c r="K525">
        <v>709</v>
      </c>
      <c r="L525" t="s">
        <v>2530</v>
      </c>
    </row>
    <row r="526" spans="1:12" x14ac:dyDescent="0.3">
      <c r="A526" t="s">
        <v>2531</v>
      </c>
      <c r="B526" t="s">
        <v>2532</v>
      </c>
      <c r="C526" t="s">
        <v>2533</v>
      </c>
      <c r="D526" t="s">
        <v>30</v>
      </c>
      <c r="E526" t="s">
        <v>2534</v>
      </c>
      <c r="H526" s="1">
        <f t="shared" si="8"/>
        <v>1</v>
      </c>
      <c r="I526">
        <v>63</v>
      </c>
      <c r="J526">
        <v>231</v>
      </c>
      <c r="K526">
        <v>11</v>
      </c>
      <c r="L526" t="s">
        <v>2535</v>
      </c>
    </row>
    <row r="527" spans="1:12" x14ac:dyDescent="0.3">
      <c r="A527" t="s">
        <v>2536</v>
      </c>
      <c r="B527" t="s">
        <v>2537</v>
      </c>
      <c r="D527" t="s">
        <v>13</v>
      </c>
      <c r="E527" t="s">
        <v>2538</v>
      </c>
      <c r="F527" t="b">
        <v>1</v>
      </c>
      <c r="H527" s="1">
        <f t="shared" si="8"/>
        <v>1</v>
      </c>
      <c r="I527">
        <v>99</v>
      </c>
      <c r="J527">
        <v>230</v>
      </c>
      <c r="K527">
        <v>159</v>
      </c>
      <c r="L527" t="s">
        <v>2539</v>
      </c>
    </row>
    <row r="528" spans="1:12" x14ac:dyDescent="0.3">
      <c r="A528" t="s">
        <v>2540</v>
      </c>
      <c r="B528" t="s">
        <v>2541</v>
      </c>
      <c r="C528" t="s">
        <v>1051</v>
      </c>
      <c r="D528" t="s">
        <v>30</v>
      </c>
      <c r="G528" t="s">
        <v>2542</v>
      </c>
      <c r="H528" s="1">
        <f t="shared" si="8"/>
        <v>4</v>
      </c>
      <c r="I528">
        <v>77</v>
      </c>
      <c r="J528">
        <v>229</v>
      </c>
      <c r="K528">
        <v>199</v>
      </c>
      <c r="L528" t="s">
        <v>2543</v>
      </c>
    </row>
    <row r="529" spans="1:12" x14ac:dyDescent="0.3">
      <c r="A529" t="s">
        <v>2544</v>
      </c>
      <c r="B529" t="s">
        <v>2545</v>
      </c>
      <c r="C529" t="s">
        <v>2546</v>
      </c>
      <c r="D529" t="s">
        <v>13</v>
      </c>
      <c r="E529" t="s">
        <v>2547</v>
      </c>
      <c r="G529" t="s">
        <v>2548</v>
      </c>
      <c r="H529" s="1">
        <f t="shared" si="8"/>
        <v>4</v>
      </c>
      <c r="I529">
        <v>169</v>
      </c>
      <c r="J529">
        <v>229</v>
      </c>
      <c r="K529">
        <v>87</v>
      </c>
      <c r="L529" t="s">
        <v>2549</v>
      </c>
    </row>
    <row r="530" spans="1:12" ht="230.4" x14ac:dyDescent="0.3">
      <c r="A530" t="s">
        <v>2550</v>
      </c>
      <c r="B530" t="s">
        <v>2551</v>
      </c>
      <c r="C530" t="s">
        <v>19</v>
      </c>
      <c r="D530" t="s">
        <v>1191</v>
      </c>
      <c r="E530" t="s">
        <v>2552</v>
      </c>
      <c r="G530" s="1" t="s">
        <v>2553</v>
      </c>
      <c r="H530" s="1">
        <f t="shared" si="8"/>
        <v>16</v>
      </c>
      <c r="I530">
        <v>84</v>
      </c>
      <c r="J530">
        <v>229</v>
      </c>
      <c r="K530">
        <v>82</v>
      </c>
      <c r="L530" t="s">
        <v>2554</v>
      </c>
    </row>
    <row r="531" spans="1:12" x14ac:dyDescent="0.3">
      <c r="A531" t="s">
        <v>2555</v>
      </c>
      <c r="B531" t="s">
        <v>2556</v>
      </c>
      <c r="D531" t="s">
        <v>13</v>
      </c>
      <c r="H531" s="1">
        <f t="shared" si="8"/>
        <v>1</v>
      </c>
      <c r="I531">
        <v>169</v>
      </c>
      <c r="J531">
        <v>229</v>
      </c>
      <c r="K531">
        <v>2</v>
      </c>
      <c r="L531" t="s">
        <v>2557</v>
      </c>
    </row>
    <row r="532" spans="1:12" x14ac:dyDescent="0.3">
      <c r="A532" t="s">
        <v>2558</v>
      </c>
      <c r="B532" t="s">
        <v>2559</v>
      </c>
      <c r="D532" t="s">
        <v>13</v>
      </c>
      <c r="H532" s="1">
        <f t="shared" si="8"/>
        <v>1</v>
      </c>
      <c r="I532">
        <v>43</v>
      </c>
      <c r="J532">
        <v>228</v>
      </c>
      <c r="K532">
        <v>17</v>
      </c>
      <c r="L532" t="s">
        <v>2560</v>
      </c>
    </row>
    <row r="533" spans="1:12" x14ac:dyDescent="0.3">
      <c r="A533" t="s">
        <v>2561</v>
      </c>
      <c r="B533" t="s">
        <v>2562</v>
      </c>
      <c r="C533" t="s">
        <v>2563</v>
      </c>
      <c r="D533" t="s">
        <v>13</v>
      </c>
      <c r="E533" t="s">
        <v>2564</v>
      </c>
      <c r="F533" t="b">
        <v>1</v>
      </c>
      <c r="G533" t="s">
        <v>2565</v>
      </c>
      <c r="H533" s="1">
        <f t="shared" si="8"/>
        <v>19</v>
      </c>
      <c r="I533">
        <v>155</v>
      </c>
      <c r="J533">
        <v>228</v>
      </c>
      <c r="K533">
        <v>21</v>
      </c>
      <c r="L533" t="s">
        <v>2566</v>
      </c>
    </row>
    <row r="534" spans="1:12" x14ac:dyDescent="0.3">
      <c r="A534" t="s">
        <v>2567</v>
      </c>
      <c r="B534" t="s">
        <v>2568</v>
      </c>
      <c r="D534" t="s">
        <v>13</v>
      </c>
      <c r="E534" t="s">
        <v>2569</v>
      </c>
      <c r="F534" t="b">
        <v>1</v>
      </c>
      <c r="G534" t="s">
        <v>2570</v>
      </c>
      <c r="H534" s="1">
        <f t="shared" si="8"/>
        <v>3</v>
      </c>
      <c r="I534">
        <v>11</v>
      </c>
      <c r="J534">
        <v>228</v>
      </c>
      <c r="K534">
        <v>1</v>
      </c>
      <c r="L534" t="s">
        <v>2571</v>
      </c>
    </row>
    <row r="535" spans="1:12" x14ac:dyDescent="0.3">
      <c r="A535" t="s">
        <v>2572</v>
      </c>
      <c r="B535" t="s">
        <v>2573</v>
      </c>
      <c r="C535" t="s">
        <v>1066</v>
      </c>
      <c r="D535" t="s">
        <v>30</v>
      </c>
      <c r="G535" t="s">
        <v>2574</v>
      </c>
      <c r="H535" s="1">
        <f t="shared" si="8"/>
        <v>1</v>
      </c>
      <c r="I535">
        <v>53</v>
      </c>
      <c r="J535">
        <v>227</v>
      </c>
      <c r="K535">
        <v>30</v>
      </c>
      <c r="L535" t="s">
        <v>2575</v>
      </c>
    </row>
    <row r="536" spans="1:12" ht="86.4" x14ac:dyDescent="0.3">
      <c r="A536" t="s">
        <v>2576</v>
      </c>
      <c r="B536" t="s">
        <v>2577</v>
      </c>
      <c r="C536" t="s">
        <v>2578</v>
      </c>
      <c r="D536" t="s">
        <v>30</v>
      </c>
      <c r="E536" t="s">
        <v>2579</v>
      </c>
      <c r="F536" t="b">
        <v>1</v>
      </c>
      <c r="G536" s="1" t="s">
        <v>2580</v>
      </c>
      <c r="H536" s="1">
        <f t="shared" si="8"/>
        <v>3</v>
      </c>
      <c r="I536">
        <v>294</v>
      </c>
      <c r="J536">
        <v>227</v>
      </c>
      <c r="K536">
        <v>29</v>
      </c>
      <c r="L536" t="s">
        <v>2581</v>
      </c>
    </row>
    <row r="537" spans="1:12" x14ac:dyDescent="0.3">
      <c r="A537" t="s">
        <v>2582</v>
      </c>
      <c r="B537" t="s">
        <v>2583</v>
      </c>
      <c r="C537" t="s">
        <v>2584</v>
      </c>
      <c r="D537" t="s">
        <v>30</v>
      </c>
      <c r="E537" t="s">
        <v>2585</v>
      </c>
      <c r="G537" t="s">
        <v>2586</v>
      </c>
      <c r="H537" s="1">
        <f t="shared" si="8"/>
        <v>11</v>
      </c>
      <c r="I537">
        <v>94</v>
      </c>
      <c r="J537">
        <v>226</v>
      </c>
      <c r="K537">
        <v>1</v>
      </c>
      <c r="L537" t="s">
        <v>2587</v>
      </c>
    </row>
    <row r="538" spans="1:12" x14ac:dyDescent="0.3">
      <c r="A538" t="s">
        <v>2588</v>
      </c>
      <c r="B538" t="s">
        <v>2589</v>
      </c>
      <c r="C538" t="s">
        <v>2590</v>
      </c>
      <c r="D538" t="s">
        <v>30</v>
      </c>
      <c r="G538" t="s">
        <v>2591</v>
      </c>
      <c r="H538" s="1">
        <f t="shared" si="8"/>
        <v>4</v>
      </c>
      <c r="I538">
        <v>22</v>
      </c>
      <c r="J538">
        <v>226</v>
      </c>
      <c r="K538">
        <v>141</v>
      </c>
      <c r="L538" t="s">
        <v>2592</v>
      </c>
    </row>
    <row r="539" spans="1:12" x14ac:dyDescent="0.3">
      <c r="A539" t="s">
        <v>2593</v>
      </c>
      <c r="B539" t="s">
        <v>2594</v>
      </c>
      <c r="C539" t="s">
        <v>2595</v>
      </c>
      <c r="D539" t="s">
        <v>2596</v>
      </c>
      <c r="E539" t="s">
        <v>2597</v>
      </c>
      <c r="F539" t="b">
        <v>1</v>
      </c>
      <c r="H539" s="1">
        <f t="shared" si="8"/>
        <v>1</v>
      </c>
      <c r="I539">
        <v>353</v>
      </c>
      <c r="J539">
        <v>226</v>
      </c>
      <c r="K539">
        <v>65</v>
      </c>
      <c r="L539" t="s">
        <v>2598</v>
      </c>
    </row>
    <row r="540" spans="1:12" x14ac:dyDescent="0.3">
      <c r="A540" t="s">
        <v>2599</v>
      </c>
      <c r="B540" t="s">
        <v>2600</v>
      </c>
      <c r="C540" t="s">
        <v>2601</v>
      </c>
      <c r="D540" t="s">
        <v>2602</v>
      </c>
      <c r="E540" t="s">
        <v>2603</v>
      </c>
      <c r="G540" t="s">
        <v>2604</v>
      </c>
      <c r="H540" s="1">
        <f t="shared" si="8"/>
        <v>11</v>
      </c>
      <c r="I540">
        <v>49</v>
      </c>
      <c r="J540">
        <v>225</v>
      </c>
      <c r="K540">
        <v>11</v>
      </c>
      <c r="L540" t="s">
        <v>2605</v>
      </c>
    </row>
    <row r="541" spans="1:12" x14ac:dyDescent="0.3">
      <c r="A541" t="s">
        <v>2606</v>
      </c>
      <c r="B541" t="s">
        <v>2607</v>
      </c>
      <c r="C541" t="s">
        <v>679</v>
      </c>
      <c r="D541" t="s">
        <v>13</v>
      </c>
      <c r="F541" t="b">
        <v>1</v>
      </c>
      <c r="H541" s="1">
        <f t="shared" si="8"/>
        <v>1</v>
      </c>
      <c r="I541">
        <v>91</v>
      </c>
      <c r="J541">
        <v>224</v>
      </c>
      <c r="K541">
        <v>32</v>
      </c>
      <c r="L541" t="s">
        <v>2608</v>
      </c>
    </row>
    <row r="542" spans="1:12" x14ac:dyDescent="0.3">
      <c r="A542" t="s">
        <v>2609</v>
      </c>
      <c r="B542" t="s">
        <v>2610</v>
      </c>
      <c r="C542" t="s">
        <v>2423</v>
      </c>
      <c r="D542" t="s">
        <v>30</v>
      </c>
      <c r="E542" t="s">
        <v>2611</v>
      </c>
      <c r="F542" t="b">
        <v>1</v>
      </c>
      <c r="G542" t="s">
        <v>2612</v>
      </c>
      <c r="H542" s="1">
        <f t="shared" si="8"/>
        <v>10</v>
      </c>
      <c r="I542">
        <v>253</v>
      </c>
      <c r="J542">
        <v>223</v>
      </c>
      <c r="K542">
        <v>28</v>
      </c>
      <c r="L542" t="s">
        <v>2613</v>
      </c>
    </row>
    <row r="543" spans="1:12" x14ac:dyDescent="0.3">
      <c r="A543" t="s">
        <v>2614</v>
      </c>
      <c r="B543" t="s">
        <v>2615</v>
      </c>
      <c r="D543" t="s">
        <v>13</v>
      </c>
      <c r="E543" t="s">
        <v>2616</v>
      </c>
      <c r="F543" t="b">
        <v>1</v>
      </c>
      <c r="G543" t="s">
        <v>2617</v>
      </c>
      <c r="H543" s="1">
        <f t="shared" si="8"/>
        <v>9</v>
      </c>
      <c r="I543">
        <v>29</v>
      </c>
      <c r="J543">
        <v>223</v>
      </c>
      <c r="K543">
        <v>3</v>
      </c>
      <c r="L543" t="s">
        <v>2618</v>
      </c>
    </row>
    <row r="544" spans="1:12" x14ac:dyDescent="0.3">
      <c r="A544" t="s">
        <v>2619</v>
      </c>
      <c r="B544" t="s">
        <v>2620</v>
      </c>
      <c r="D544" t="s">
        <v>30</v>
      </c>
      <c r="E544" t="s">
        <v>2621</v>
      </c>
      <c r="G544" t="s">
        <v>2622</v>
      </c>
      <c r="H544" s="1">
        <f t="shared" si="8"/>
        <v>7</v>
      </c>
      <c r="I544">
        <v>38</v>
      </c>
      <c r="J544">
        <v>223</v>
      </c>
      <c r="K544">
        <v>44</v>
      </c>
      <c r="L544" t="s">
        <v>2623</v>
      </c>
    </row>
    <row r="545" spans="1:12" x14ac:dyDescent="0.3">
      <c r="A545" t="s">
        <v>2624</v>
      </c>
      <c r="B545" t="s">
        <v>2625</v>
      </c>
      <c r="C545" t="s">
        <v>1484</v>
      </c>
      <c r="D545" t="s">
        <v>30</v>
      </c>
      <c r="G545" t="s">
        <v>2626</v>
      </c>
      <c r="H545" s="1">
        <f t="shared" si="8"/>
        <v>7</v>
      </c>
      <c r="I545">
        <v>173</v>
      </c>
      <c r="J545">
        <v>222</v>
      </c>
      <c r="K545">
        <v>3</v>
      </c>
      <c r="L545" t="s">
        <v>2627</v>
      </c>
    </row>
    <row r="546" spans="1:12" x14ac:dyDescent="0.3">
      <c r="A546" t="s">
        <v>2628</v>
      </c>
      <c r="B546" t="s">
        <v>2629</v>
      </c>
      <c r="C546" t="s">
        <v>110</v>
      </c>
      <c r="D546" t="s">
        <v>30</v>
      </c>
      <c r="E546" t="s">
        <v>2630</v>
      </c>
      <c r="G546" t="s">
        <v>2631</v>
      </c>
      <c r="H546" s="1">
        <f t="shared" si="8"/>
        <v>25</v>
      </c>
      <c r="I546">
        <v>80</v>
      </c>
      <c r="J546">
        <v>222</v>
      </c>
      <c r="K546">
        <v>14</v>
      </c>
      <c r="L546" t="s">
        <v>2632</v>
      </c>
    </row>
    <row r="547" spans="1:12" x14ac:dyDescent="0.3">
      <c r="A547" t="s">
        <v>2633</v>
      </c>
      <c r="B547" t="s">
        <v>2634</v>
      </c>
      <c r="D547" t="s">
        <v>13</v>
      </c>
      <c r="E547" t="s">
        <v>2635</v>
      </c>
      <c r="F547" t="b">
        <v>1</v>
      </c>
      <c r="G547" t="s">
        <v>2636</v>
      </c>
      <c r="H547" s="1">
        <f t="shared" si="8"/>
        <v>3</v>
      </c>
      <c r="I547">
        <v>308</v>
      </c>
      <c r="J547">
        <v>222</v>
      </c>
      <c r="K547">
        <v>515</v>
      </c>
      <c r="L547" t="s">
        <v>2637</v>
      </c>
    </row>
    <row r="548" spans="1:12" x14ac:dyDescent="0.3">
      <c r="A548" t="s">
        <v>2638</v>
      </c>
      <c r="B548" t="s">
        <v>2639</v>
      </c>
      <c r="C548" t="s">
        <v>2640</v>
      </c>
      <c r="D548" t="s">
        <v>2641</v>
      </c>
      <c r="E548" t="s">
        <v>2642</v>
      </c>
      <c r="F548" t="b">
        <v>1</v>
      </c>
      <c r="H548" s="1">
        <f t="shared" si="8"/>
        <v>1</v>
      </c>
      <c r="I548">
        <v>169</v>
      </c>
      <c r="J548">
        <v>221</v>
      </c>
      <c r="K548">
        <v>151</v>
      </c>
      <c r="L548" t="s">
        <v>2643</v>
      </c>
    </row>
    <row r="549" spans="1:12" x14ac:dyDescent="0.3">
      <c r="A549" t="s">
        <v>2644</v>
      </c>
      <c r="B549" t="s">
        <v>2645</v>
      </c>
      <c r="D549" t="s">
        <v>13</v>
      </c>
      <c r="E549" t="s">
        <v>2646</v>
      </c>
      <c r="F549" t="b">
        <v>1</v>
      </c>
      <c r="G549" t="s">
        <v>2647</v>
      </c>
      <c r="H549" s="1">
        <f t="shared" si="8"/>
        <v>24</v>
      </c>
      <c r="I549">
        <v>55</v>
      </c>
      <c r="J549">
        <v>220</v>
      </c>
      <c r="K549">
        <v>83</v>
      </c>
      <c r="L549" t="s">
        <v>2648</v>
      </c>
    </row>
    <row r="550" spans="1:12" x14ac:dyDescent="0.3">
      <c r="A550" t="s">
        <v>2649</v>
      </c>
      <c r="B550" t="s">
        <v>2650</v>
      </c>
      <c r="C550" t="s">
        <v>2651</v>
      </c>
      <c r="D550" t="s">
        <v>13</v>
      </c>
      <c r="E550" t="s">
        <v>2652</v>
      </c>
      <c r="G550" t="s">
        <v>2653</v>
      </c>
      <c r="H550" s="1">
        <f t="shared" si="8"/>
        <v>9</v>
      </c>
      <c r="I550">
        <v>5</v>
      </c>
      <c r="J550">
        <v>220</v>
      </c>
      <c r="K550">
        <v>15</v>
      </c>
      <c r="L550" t="s">
        <v>2654</v>
      </c>
    </row>
    <row r="551" spans="1:12" x14ac:dyDescent="0.3">
      <c r="A551" t="s">
        <v>2655</v>
      </c>
      <c r="B551" t="s">
        <v>2656</v>
      </c>
      <c r="C551" t="s">
        <v>679</v>
      </c>
      <c r="D551" t="s">
        <v>30</v>
      </c>
      <c r="H551" s="1">
        <f t="shared" si="8"/>
        <v>1</v>
      </c>
      <c r="I551">
        <v>27</v>
      </c>
      <c r="J551">
        <v>220</v>
      </c>
      <c r="K551">
        <v>78</v>
      </c>
      <c r="L551" t="s">
        <v>2657</v>
      </c>
    </row>
    <row r="552" spans="1:12" x14ac:dyDescent="0.3">
      <c r="A552" t="s">
        <v>2658</v>
      </c>
      <c r="B552" t="s">
        <v>2659</v>
      </c>
      <c r="C552" t="s">
        <v>2660</v>
      </c>
      <c r="D552" t="s">
        <v>13</v>
      </c>
      <c r="G552" t="s">
        <v>2661</v>
      </c>
      <c r="H552" s="1">
        <f t="shared" si="8"/>
        <v>15</v>
      </c>
      <c r="I552">
        <v>43</v>
      </c>
      <c r="J552">
        <v>220</v>
      </c>
      <c r="K552">
        <v>0</v>
      </c>
      <c r="L552" t="s">
        <v>2662</v>
      </c>
    </row>
    <row r="553" spans="1:12" x14ac:dyDescent="0.3">
      <c r="A553" t="s">
        <v>2663</v>
      </c>
      <c r="B553" t="s">
        <v>2664</v>
      </c>
      <c r="C553" t="s">
        <v>2665</v>
      </c>
      <c r="D553" t="s">
        <v>2666</v>
      </c>
      <c r="E553" t="s">
        <v>2667</v>
      </c>
      <c r="G553" t="s">
        <v>2668</v>
      </c>
      <c r="H553" s="1">
        <f t="shared" si="8"/>
        <v>15</v>
      </c>
      <c r="I553">
        <v>239</v>
      </c>
      <c r="J553">
        <v>219</v>
      </c>
      <c r="K553">
        <v>175</v>
      </c>
      <c r="L553" t="s">
        <v>2669</v>
      </c>
    </row>
    <row r="554" spans="1:12" x14ac:dyDescent="0.3">
      <c r="A554" t="s">
        <v>2670</v>
      </c>
      <c r="B554" t="s">
        <v>2671</v>
      </c>
      <c r="C554" t="s">
        <v>2672</v>
      </c>
      <c r="D554" t="s">
        <v>13</v>
      </c>
      <c r="E554" t="s">
        <v>2673</v>
      </c>
      <c r="G554" t="s">
        <v>286</v>
      </c>
      <c r="H554" s="1">
        <f t="shared" si="8"/>
        <v>3</v>
      </c>
      <c r="I554">
        <v>105</v>
      </c>
      <c r="J554">
        <v>219</v>
      </c>
      <c r="K554">
        <v>28</v>
      </c>
      <c r="L554" t="s">
        <v>2674</v>
      </c>
    </row>
    <row r="555" spans="1:12" x14ac:dyDescent="0.3">
      <c r="A555" t="s">
        <v>2675</v>
      </c>
      <c r="B555" t="s">
        <v>2676</v>
      </c>
      <c r="C555" t="s">
        <v>2677</v>
      </c>
      <c r="D555" t="s">
        <v>13</v>
      </c>
      <c r="F555" t="b">
        <v>1</v>
      </c>
      <c r="G555" t="s">
        <v>2678</v>
      </c>
      <c r="H555" s="1">
        <f t="shared" si="8"/>
        <v>4</v>
      </c>
      <c r="I555">
        <v>55</v>
      </c>
      <c r="J555">
        <v>219</v>
      </c>
      <c r="K555">
        <v>115</v>
      </c>
      <c r="L555" t="s">
        <v>2679</v>
      </c>
    </row>
    <row r="556" spans="1:12" x14ac:dyDescent="0.3">
      <c r="A556" t="s">
        <v>2680</v>
      </c>
      <c r="B556" t="s">
        <v>2681</v>
      </c>
      <c r="C556" t="s">
        <v>1040</v>
      </c>
      <c r="D556" t="s">
        <v>13</v>
      </c>
      <c r="F556" t="b">
        <v>1</v>
      </c>
      <c r="H556" s="1">
        <f t="shared" si="8"/>
        <v>1</v>
      </c>
      <c r="I556">
        <v>53</v>
      </c>
      <c r="J556">
        <v>218</v>
      </c>
      <c r="K556">
        <v>14</v>
      </c>
      <c r="L556" t="s">
        <v>2682</v>
      </c>
    </row>
    <row r="557" spans="1:12" ht="244.8" x14ac:dyDescent="0.3">
      <c r="A557" t="s">
        <v>2683</v>
      </c>
      <c r="B557" t="s">
        <v>2684</v>
      </c>
      <c r="C557" t="s">
        <v>697</v>
      </c>
      <c r="D557" t="s">
        <v>13</v>
      </c>
      <c r="E557" t="s">
        <v>2685</v>
      </c>
      <c r="G557" s="1" t="s">
        <v>2686</v>
      </c>
      <c r="H557" s="1">
        <f t="shared" si="8"/>
        <v>16</v>
      </c>
      <c r="I557">
        <v>94</v>
      </c>
      <c r="J557">
        <v>218</v>
      </c>
      <c r="K557">
        <v>240</v>
      </c>
      <c r="L557" t="s">
        <v>2687</v>
      </c>
    </row>
    <row r="558" spans="1:12" x14ac:dyDescent="0.3">
      <c r="A558" t="s">
        <v>2688</v>
      </c>
      <c r="B558" t="s">
        <v>2689</v>
      </c>
      <c r="C558" t="s">
        <v>697</v>
      </c>
      <c r="D558" t="s">
        <v>13</v>
      </c>
      <c r="E558" t="s">
        <v>2690</v>
      </c>
      <c r="F558" t="b">
        <v>1</v>
      </c>
      <c r="G558" t="s">
        <v>2691</v>
      </c>
      <c r="H558" s="1">
        <f t="shared" si="8"/>
        <v>4</v>
      </c>
      <c r="I558">
        <v>66</v>
      </c>
      <c r="J558">
        <v>217</v>
      </c>
      <c r="K558">
        <v>0</v>
      </c>
      <c r="L558" t="s">
        <v>2692</v>
      </c>
    </row>
    <row r="559" spans="1:12" x14ac:dyDescent="0.3">
      <c r="A559" t="s">
        <v>2693</v>
      </c>
      <c r="B559" t="s">
        <v>2694</v>
      </c>
      <c r="C559" t="s">
        <v>2695</v>
      </c>
      <c r="D559" t="s">
        <v>13</v>
      </c>
      <c r="E559" t="s">
        <v>2696</v>
      </c>
      <c r="G559" t="s">
        <v>2697</v>
      </c>
      <c r="H559" s="1">
        <f t="shared" si="8"/>
        <v>9</v>
      </c>
      <c r="I559">
        <v>20</v>
      </c>
      <c r="J559">
        <v>217</v>
      </c>
      <c r="K559">
        <v>0</v>
      </c>
      <c r="L559" t="s">
        <v>2698</v>
      </c>
    </row>
    <row r="560" spans="1:12" x14ac:dyDescent="0.3">
      <c r="A560" t="s">
        <v>2699</v>
      </c>
      <c r="B560" t="s">
        <v>2700</v>
      </c>
      <c r="C560" t="s">
        <v>2701</v>
      </c>
      <c r="D560" t="s">
        <v>2702</v>
      </c>
      <c r="F560" t="b">
        <v>1</v>
      </c>
      <c r="G560" t="s">
        <v>2703</v>
      </c>
      <c r="H560" s="1">
        <f t="shared" si="8"/>
        <v>6</v>
      </c>
      <c r="I560">
        <v>73</v>
      </c>
      <c r="J560">
        <v>217</v>
      </c>
      <c r="K560">
        <v>35</v>
      </c>
      <c r="L560" t="s">
        <v>2704</v>
      </c>
    </row>
    <row r="561" spans="1:12" x14ac:dyDescent="0.3">
      <c r="A561" t="s">
        <v>2705</v>
      </c>
      <c r="B561" t="s">
        <v>2706</v>
      </c>
      <c r="D561" t="s">
        <v>30</v>
      </c>
      <c r="G561" t="s">
        <v>2707</v>
      </c>
      <c r="H561" s="1">
        <f t="shared" si="8"/>
        <v>12</v>
      </c>
      <c r="I561">
        <v>12</v>
      </c>
      <c r="J561">
        <v>217</v>
      </c>
      <c r="K561">
        <v>436</v>
      </c>
      <c r="L561" t="s">
        <v>2708</v>
      </c>
    </row>
    <row r="562" spans="1:12" x14ac:dyDescent="0.3">
      <c r="A562" t="s">
        <v>2709</v>
      </c>
      <c r="B562" t="s">
        <v>2710</v>
      </c>
      <c r="D562" t="s">
        <v>30</v>
      </c>
      <c r="E562" t="s">
        <v>2711</v>
      </c>
      <c r="G562" t="s">
        <v>2712</v>
      </c>
      <c r="H562" s="1">
        <f t="shared" si="8"/>
        <v>3</v>
      </c>
      <c r="I562">
        <v>35</v>
      </c>
      <c r="J562">
        <v>217</v>
      </c>
      <c r="K562">
        <v>44</v>
      </c>
      <c r="L562" t="s">
        <v>2713</v>
      </c>
    </row>
    <row r="563" spans="1:12" x14ac:dyDescent="0.3">
      <c r="A563" t="s">
        <v>2714</v>
      </c>
      <c r="B563" t="s">
        <v>2715</v>
      </c>
      <c r="C563" t="s">
        <v>2716</v>
      </c>
      <c r="D563" t="s">
        <v>13</v>
      </c>
      <c r="E563" t="s">
        <v>2717</v>
      </c>
      <c r="G563" t="s">
        <v>2718</v>
      </c>
      <c r="H563" s="1">
        <f t="shared" si="8"/>
        <v>2</v>
      </c>
      <c r="I563">
        <v>168</v>
      </c>
      <c r="J563">
        <v>217</v>
      </c>
      <c r="K563">
        <v>48</v>
      </c>
      <c r="L563" t="s">
        <v>2719</v>
      </c>
    </row>
    <row r="564" spans="1:12" x14ac:dyDescent="0.3">
      <c r="A564" t="s">
        <v>2720</v>
      </c>
      <c r="B564" t="s">
        <v>2721</v>
      </c>
      <c r="C564" t="s">
        <v>2722</v>
      </c>
      <c r="D564" t="s">
        <v>13</v>
      </c>
      <c r="E564" t="s">
        <v>2723</v>
      </c>
      <c r="F564" t="b">
        <v>1</v>
      </c>
      <c r="G564" t="s">
        <v>2724</v>
      </c>
      <c r="H564" s="1">
        <f t="shared" si="8"/>
        <v>10</v>
      </c>
      <c r="I564">
        <v>179</v>
      </c>
      <c r="J564">
        <v>217</v>
      </c>
      <c r="K564">
        <v>22</v>
      </c>
      <c r="L564" t="s">
        <v>2725</v>
      </c>
    </row>
    <row r="565" spans="1:12" x14ac:dyDescent="0.3">
      <c r="A565" t="s">
        <v>2726</v>
      </c>
      <c r="B565" t="s">
        <v>2727</v>
      </c>
      <c r="D565" t="s">
        <v>659</v>
      </c>
      <c r="F565" t="b">
        <v>1</v>
      </c>
      <c r="G565" t="s">
        <v>2728</v>
      </c>
      <c r="H565" s="1">
        <f t="shared" si="8"/>
        <v>4</v>
      </c>
      <c r="I565">
        <v>21</v>
      </c>
      <c r="J565">
        <v>217</v>
      </c>
      <c r="K565">
        <v>108</v>
      </c>
      <c r="L565" t="s">
        <v>2729</v>
      </c>
    </row>
    <row r="566" spans="1:12" x14ac:dyDescent="0.3">
      <c r="A566" t="s">
        <v>2730</v>
      </c>
      <c r="B566" t="s">
        <v>2731</v>
      </c>
      <c r="C566" t="s">
        <v>2732</v>
      </c>
      <c r="D566" t="s">
        <v>30</v>
      </c>
      <c r="F566" t="b">
        <v>1</v>
      </c>
      <c r="G566" t="s">
        <v>2733</v>
      </c>
      <c r="H566" s="1">
        <f t="shared" si="8"/>
        <v>13</v>
      </c>
      <c r="I566">
        <v>353</v>
      </c>
      <c r="J566">
        <v>216</v>
      </c>
      <c r="K566">
        <v>155</v>
      </c>
      <c r="L566" t="s">
        <v>2734</v>
      </c>
    </row>
    <row r="567" spans="1:12" x14ac:dyDescent="0.3">
      <c r="A567" t="s">
        <v>2735</v>
      </c>
      <c r="B567" t="s">
        <v>2736</v>
      </c>
      <c r="C567" t="s">
        <v>2737</v>
      </c>
      <c r="D567" t="s">
        <v>2738</v>
      </c>
      <c r="E567" t="s">
        <v>2739</v>
      </c>
      <c r="F567" t="b">
        <v>1</v>
      </c>
      <c r="G567" t="s">
        <v>2740</v>
      </c>
      <c r="H567" s="1">
        <f t="shared" si="8"/>
        <v>24</v>
      </c>
      <c r="I567">
        <v>306</v>
      </c>
      <c r="J567">
        <v>216</v>
      </c>
      <c r="K567">
        <v>5</v>
      </c>
      <c r="L567" t="s">
        <v>2741</v>
      </c>
    </row>
    <row r="568" spans="1:12" x14ac:dyDescent="0.3">
      <c r="A568" t="s">
        <v>2742</v>
      </c>
      <c r="B568" t="s">
        <v>2743</v>
      </c>
      <c r="C568" t="s">
        <v>2744</v>
      </c>
      <c r="D568" t="s">
        <v>13</v>
      </c>
      <c r="E568" t="s">
        <v>2745</v>
      </c>
      <c r="G568" t="s">
        <v>2746</v>
      </c>
      <c r="H568" s="1">
        <f t="shared" si="8"/>
        <v>4</v>
      </c>
      <c r="I568">
        <v>37</v>
      </c>
      <c r="J568">
        <v>216</v>
      </c>
      <c r="K568">
        <v>14</v>
      </c>
      <c r="L568" t="s">
        <v>2747</v>
      </c>
    </row>
    <row r="569" spans="1:12" x14ac:dyDescent="0.3">
      <c r="A569" t="s">
        <v>2748</v>
      </c>
      <c r="B569" t="s">
        <v>2749</v>
      </c>
      <c r="C569" t="s">
        <v>931</v>
      </c>
      <c r="D569" t="s">
        <v>30</v>
      </c>
      <c r="E569" t="s">
        <v>2750</v>
      </c>
      <c r="G569" t="s">
        <v>2751</v>
      </c>
      <c r="H569" s="1">
        <f t="shared" si="8"/>
        <v>2</v>
      </c>
      <c r="I569">
        <v>42</v>
      </c>
      <c r="J569">
        <v>216</v>
      </c>
      <c r="K569">
        <v>64</v>
      </c>
      <c r="L569" t="s">
        <v>2752</v>
      </c>
    </row>
    <row r="570" spans="1:12" x14ac:dyDescent="0.3">
      <c r="A570" t="s">
        <v>2753</v>
      </c>
      <c r="B570" t="s">
        <v>2754</v>
      </c>
      <c r="D570" t="s">
        <v>13</v>
      </c>
      <c r="E570" t="s">
        <v>2755</v>
      </c>
      <c r="F570" t="b">
        <v>1</v>
      </c>
      <c r="G570" t="s">
        <v>2756</v>
      </c>
      <c r="H570" s="1">
        <f t="shared" si="8"/>
        <v>3</v>
      </c>
      <c r="I570">
        <v>28</v>
      </c>
      <c r="J570">
        <v>215</v>
      </c>
      <c r="K570">
        <v>6</v>
      </c>
      <c r="L570" t="s">
        <v>2757</v>
      </c>
    </row>
    <row r="571" spans="1:12" x14ac:dyDescent="0.3">
      <c r="A571" t="s">
        <v>2758</v>
      </c>
      <c r="B571" t="s">
        <v>2759</v>
      </c>
      <c r="C571" t="s">
        <v>2760</v>
      </c>
      <c r="D571" t="s">
        <v>13</v>
      </c>
      <c r="E571" t="s">
        <v>2761</v>
      </c>
      <c r="F571" t="b">
        <v>1</v>
      </c>
      <c r="H571" s="1">
        <f t="shared" si="8"/>
        <v>1</v>
      </c>
      <c r="I571">
        <v>106</v>
      </c>
      <c r="J571">
        <v>214</v>
      </c>
      <c r="K571">
        <v>7</v>
      </c>
      <c r="L571" t="s">
        <v>2762</v>
      </c>
    </row>
    <row r="572" spans="1:12" x14ac:dyDescent="0.3">
      <c r="A572" t="s">
        <v>2763</v>
      </c>
      <c r="B572" t="s">
        <v>2764</v>
      </c>
      <c r="D572" t="s">
        <v>13</v>
      </c>
      <c r="H572" s="1">
        <f t="shared" si="8"/>
        <v>1</v>
      </c>
      <c r="I572">
        <v>11</v>
      </c>
      <c r="J572">
        <v>213</v>
      </c>
      <c r="K572">
        <v>14</v>
      </c>
      <c r="L572" t="s">
        <v>2765</v>
      </c>
    </row>
    <row r="573" spans="1:12" x14ac:dyDescent="0.3">
      <c r="A573" t="s">
        <v>2766</v>
      </c>
      <c r="B573" t="s">
        <v>2767</v>
      </c>
      <c r="D573" t="s">
        <v>30</v>
      </c>
      <c r="E573" t="s">
        <v>2768</v>
      </c>
      <c r="H573" s="1">
        <f t="shared" si="8"/>
        <v>1</v>
      </c>
      <c r="I573">
        <v>20</v>
      </c>
      <c r="J573">
        <v>213</v>
      </c>
      <c r="K573">
        <v>0</v>
      </c>
      <c r="L573" t="s">
        <v>2769</v>
      </c>
    </row>
    <row r="574" spans="1:12" x14ac:dyDescent="0.3">
      <c r="A574" t="s">
        <v>2770</v>
      </c>
      <c r="B574" t="s">
        <v>2771</v>
      </c>
      <c r="C574" t="s">
        <v>2772</v>
      </c>
      <c r="D574" t="s">
        <v>13</v>
      </c>
      <c r="E574" t="s">
        <v>2773</v>
      </c>
      <c r="G574" t="s">
        <v>2774</v>
      </c>
      <c r="H574" s="1">
        <f t="shared" si="8"/>
        <v>12</v>
      </c>
      <c r="I574">
        <v>55</v>
      </c>
      <c r="J574">
        <v>213</v>
      </c>
      <c r="K574">
        <v>11</v>
      </c>
      <c r="L574" t="s">
        <v>2775</v>
      </c>
    </row>
    <row r="575" spans="1:12" x14ac:dyDescent="0.3">
      <c r="A575" t="s">
        <v>2776</v>
      </c>
      <c r="B575" t="s">
        <v>2777</v>
      </c>
      <c r="D575" t="s">
        <v>13</v>
      </c>
      <c r="H575" s="1">
        <f t="shared" si="8"/>
        <v>1</v>
      </c>
      <c r="I575">
        <v>51</v>
      </c>
      <c r="J575">
        <v>213</v>
      </c>
      <c r="K575">
        <v>98</v>
      </c>
      <c r="L575" t="s">
        <v>2778</v>
      </c>
    </row>
    <row r="576" spans="1:12" x14ac:dyDescent="0.3">
      <c r="A576" t="s">
        <v>2779</v>
      </c>
      <c r="B576" t="s">
        <v>2780</v>
      </c>
      <c r="C576" t="s">
        <v>2781</v>
      </c>
      <c r="D576" t="s">
        <v>30</v>
      </c>
      <c r="E576" t="s">
        <v>2782</v>
      </c>
      <c r="H576" s="1">
        <f t="shared" si="8"/>
        <v>1</v>
      </c>
      <c r="I576">
        <v>53</v>
      </c>
      <c r="J576">
        <v>212</v>
      </c>
      <c r="K576">
        <v>11</v>
      </c>
      <c r="L576" t="s">
        <v>2783</v>
      </c>
    </row>
    <row r="577" spans="1:12" x14ac:dyDescent="0.3">
      <c r="A577" t="s">
        <v>2784</v>
      </c>
      <c r="B577" t="s">
        <v>2785</v>
      </c>
      <c r="D577" t="s">
        <v>13</v>
      </c>
      <c r="E577" t="s">
        <v>2786</v>
      </c>
      <c r="G577" t="s">
        <v>2787</v>
      </c>
      <c r="H577" s="1">
        <f t="shared" si="8"/>
        <v>3</v>
      </c>
      <c r="I577">
        <v>120</v>
      </c>
      <c r="J577">
        <v>212</v>
      </c>
      <c r="K577">
        <v>209</v>
      </c>
      <c r="L577" t="s">
        <v>2788</v>
      </c>
    </row>
    <row r="578" spans="1:12" x14ac:dyDescent="0.3">
      <c r="A578" t="s">
        <v>2789</v>
      </c>
      <c r="B578" t="s">
        <v>2790</v>
      </c>
      <c r="D578" t="s">
        <v>30</v>
      </c>
      <c r="H578" s="1">
        <f t="shared" si="8"/>
        <v>1</v>
      </c>
      <c r="I578">
        <v>47</v>
      </c>
      <c r="J578">
        <v>212</v>
      </c>
      <c r="K578">
        <v>5</v>
      </c>
      <c r="L578" t="s">
        <v>2791</v>
      </c>
    </row>
    <row r="579" spans="1:12" x14ac:dyDescent="0.3">
      <c r="A579" t="s">
        <v>2792</v>
      </c>
      <c r="B579" t="s">
        <v>2793</v>
      </c>
      <c r="C579" t="s">
        <v>2794</v>
      </c>
      <c r="D579" t="s">
        <v>30</v>
      </c>
      <c r="E579" t="s">
        <v>2795</v>
      </c>
      <c r="G579" t="s">
        <v>2796</v>
      </c>
      <c r="H579" s="1">
        <f t="shared" ref="H579:H602" si="9">LEN(TRIM(G579))-LEN(SUBSTITUTE(TRIM(G579)," ",""))+1</f>
        <v>5</v>
      </c>
      <c r="I579">
        <v>30</v>
      </c>
      <c r="J579">
        <v>211</v>
      </c>
      <c r="K579">
        <v>16</v>
      </c>
      <c r="L579" t="s">
        <v>2797</v>
      </c>
    </row>
    <row r="580" spans="1:12" x14ac:dyDescent="0.3">
      <c r="A580" t="s">
        <v>2798</v>
      </c>
      <c r="B580" t="s">
        <v>2799</v>
      </c>
      <c r="D580" t="s">
        <v>30</v>
      </c>
      <c r="H580" s="1">
        <f t="shared" si="9"/>
        <v>1</v>
      </c>
      <c r="I580">
        <v>64</v>
      </c>
      <c r="J580">
        <v>210</v>
      </c>
      <c r="K580">
        <v>463</v>
      </c>
      <c r="L580" t="s">
        <v>2800</v>
      </c>
    </row>
    <row r="581" spans="1:12" ht="72" x14ac:dyDescent="0.3">
      <c r="A581" t="s">
        <v>2801</v>
      </c>
      <c r="B581" t="s">
        <v>2802</v>
      </c>
      <c r="C581" t="s">
        <v>1040</v>
      </c>
      <c r="D581" t="s">
        <v>30</v>
      </c>
      <c r="F581" t="b">
        <v>1</v>
      </c>
      <c r="G581" s="1" t="s">
        <v>2803</v>
      </c>
      <c r="H581" s="1">
        <f t="shared" si="9"/>
        <v>2</v>
      </c>
      <c r="I581">
        <v>77</v>
      </c>
      <c r="J581">
        <v>210</v>
      </c>
      <c r="K581">
        <v>50</v>
      </c>
      <c r="L581" t="s">
        <v>2804</v>
      </c>
    </row>
    <row r="582" spans="1:12" x14ac:dyDescent="0.3">
      <c r="A582" t="s">
        <v>2805</v>
      </c>
      <c r="B582" t="s">
        <v>2806</v>
      </c>
      <c r="C582" t="s">
        <v>2807</v>
      </c>
      <c r="D582" t="s">
        <v>13</v>
      </c>
      <c r="E582" t="s">
        <v>2808</v>
      </c>
      <c r="F582" t="b">
        <v>1</v>
      </c>
      <c r="G582" t="s">
        <v>2809</v>
      </c>
      <c r="H582" s="1">
        <f t="shared" si="9"/>
        <v>7</v>
      </c>
      <c r="I582">
        <v>48</v>
      </c>
      <c r="J582">
        <v>209</v>
      </c>
      <c r="K582">
        <v>65</v>
      </c>
      <c r="L582" t="s">
        <v>2810</v>
      </c>
    </row>
    <row r="583" spans="1:12" x14ac:dyDescent="0.3">
      <c r="A583" t="s">
        <v>2811</v>
      </c>
      <c r="B583" t="s">
        <v>2812</v>
      </c>
      <c r="C583" t="s">
        <v>2813</v>
      </c>
      <c r="D583" t="s">
        <v>13</v>
      </c>
      <c r="G583" t="s">
        <v>2814</v>
      </c>
      <c r="H583" s="1">
        <f t="shared" si="9"/>
        <v>9</v>
      </c>
      <c r="I583">
        <v>30</v>
      </c>
      <c r="J583">
        <v>209</v>
      </c>
      <c r="K583">
        <v>2</v>
      </c>
      <c r="L583" t="s">
        <v>2815</v>
      </c>
    </row>
    <row r="584" spans="1:12" x14ac:dyDescent="0.3">
      <c r="A584" t="s">
        <v>2816</v>
      </c>
      <c r="B584" t="s">
        <v>2817</v>
      </c>
      <c r="C584" t="s">
        <v>2818</v>
      </c>
      <c r="D584" t="s">
        <v>30</v>
      </c>
      <c r="E584" t="s">
        <v>2819</v>
      </c>
      <c r="G584" t="s">
        <v>2820</v>
      </c>
      <c r="H584" s="1">
        <f t="shared" si="9"/>
        <v>4</v>
      </c>
      <c r="I584">
        <v>15</v>
      </c>
      <c r="J584">
        <v>208</v>
      </c>
      <c r="K584">
        <v>3</v>
      </c>
      <c r="L584" t="s">
        <v>2821</v>
      </c>
    </row>
    <row r="585" spans="1:12" x14ac:dyDescent="0.3">
      <c r="A585" t="s">
        <v>2822</v>
      </c>
      <c r="B585" t="s">
        <v>2823</v>
      </c>
      <c r="D585" t="s">
        <v>13</v>
      </c>
      <c r="H585" s="1">
        <f t="shared" si="9"/>
        <v>1</v>
      </c>
      <c r="I585">
        <v>311</v>
      </c>
      <c r="J585">
        <v>208</v>
      </c>
      <c r="K585">
        <v>170</v>
      </c>
      <c r="L585" t="s">
        <v>2824</v>
      </c>
    </row>
    <row r="586" spans="1:12" x14ac:dyDescent="0.3">
      <c r="A586" t="s">
        <v>2825</v>
      </c>
      <c r="B586" t="s">
        <v>2826</v>
      </c>
      <c r="C586" t="s">
        <v>2827</v>
      </c>
      <c r="D586" t="s">
        <v>2828</v>
      </c>
      <c r="E586" t="s">
        <v>2829</v>
      </c>
      <c r="F586" t="b">
        <v>1</v>
      </c>
      <c r="H586" s="1">
        <f t="shared" si="9"/>
        <v>1</v>
      </c>
      <c r="I586">
        <v>48</v>
      </c>
      <c r="J586">
        <v>208</v>
      </c>
      <c r="K586">
        <v>120</v>
      </c>
      <c r="L586" t="s">
        <v>2830</v>
      </c>
    </row>
    <row r="587" spans="1:12" x14ac:dyDescent="0.3">
      <c r="A587" t="s">
        <v>2831</v>
      </c>
      <c r="B587" t="s">
        <v>2832</v>
      </c>
      <c r="D587" t="s">
        <v>30</v>
      </c>
      <c r="E587" t="s">
        <v>2833</v>
      </c>
      <c r="H587" s="1">
        <f t="shared" si="9"/>
        <v>1</v>
      </c>
      <c r="I587">
        <v>63</v>
      </c>
      <c r="J587">
        <v>207</v>
      </c>
      <c r="K587">
        <v>1</v>
      </c>
      <c r="L587" t="s">
        <v>2834</v>
      </c>
    </row>
    <row r="588" spans="1:12" x14ac:dyDescent="0.3">
      <c r="A588" t="s">
        <v>2835</v>
      </c>
      <c r="B588" t="s">
        <v>2836</v>
      </c>
      <c r="D588" t="s">
        <v>13</v>
      </c>
      <c r="E588" t="s">
        <v>2837</v>
      </c>
      <c r="H588" s="1">
        <f t="shared" si="9"/>
        <v>1</v>
      </c>
      <c r="I588">
        <v>74</v>
      </c>
      <c r="J588">
        <v>206</v>
      </c>
      <c r="K588">
        <v>18</v>
      </c>
      <c r="L588" t="s">
        <v>2838</v>
      </c>
    </row>
    <row r="589" spans="1:12" ht="129.6" x14ac:dyDescent="0.3">
      <c r="A589" t="s">
        <v>2839</v>
      </c>
      <c r="B589" t="s">
        <v>2840</v>
      </c>
      <c r="C589" t="s">
        <v>1600</v>
      </c>
      <c r="D589" t="s">
        <v>2123</v>
      </c>
      <c r="E589" t="s">
        <v>2841</v>
      </c>
      <c r="F589" t="b">
        <v>1</v>
      </c>
      <c r="G589" s="1" t="s">
        <v>2842</v>
      </c>
      <c r="H589" s="1">
        <f t="shared" si="9"/>
        <v>1</v>
      </c>
      <c r="I589">
        <v>44</v>
      </c>
      <c r="J589">
        <v>206</v>
      </c>
      <c r="K589">
        <v>145</v>
      </c>
      <c r="L589" t="s">
        <v>2843</v>
      </c>
    </row>
    <row r="590" spans="1:12" x14ac:dyDescent="0.3">
      <c r="A590" t="s">
        <v>2844</v>
      </c>
      <c r="B590" t="s">
        <v>2845</v>
      </c>
      <c r="D590" t="s">
        <v>30</v>
      </c>
      <c r="F590" t="b">
        <v>1</v>
      </c>
      <c r="H590" s="1">
        <f t="shared" si="9"/>
        <v>1</v>
      </c>
      <c r="I590">
        <v>234</v>
      </c>
      <c r="J590">
        <v>205</v>
      </c>
      <c r="K590">
        <v>43</v>
      </c>
      <c r="L590" t="s">
        <v>2846</v>
      </c>
    </row>
    <row r="591" spans="1:12" x14ac:dyDescent="0.3">
      <c r="A591" t="s">
        <v>2847</v>
      </c>
      <c r="B591" t="s">
        <v>2848</v>
      </c>
      <c r="C591" t="s">
        <v>2849</v>
      </c>
      <c r="D591" t="s">
        <v>30</v>
      </c>
      <c r="E591" t="s">
        <v>2850</v>
      </c>
      <c r="F591" t="b">
        <v>1</v>
      </c>
      <c r="H591" s="1">
        <f t="shared" si="9"/>
        <v>1</v>
      </c>
      <c r="I591">
        <v>73</v>
      </c>
      <c r="J591">
        <v>205</v>
      </c>
      <c r="K591">
        <v>119</v>
      </c>
      <c r="L591" t="s">
        <v>2851</v>
      </c>
    </row>
    <row r="592" spans="1:12" ht="172.8" x14ac:dyDescent="0.3">
      <c r="A592" t="s">
        <v>2852</v>
      </c>
      <c r="B592" t="s">
        <v>2853</v>
      </c>
      <c r="D592" t="s">
        <v>30</v>
      </c>
      <c r="F592" t="b">
        <v>1</v>
      </c>
      <c r="G592" s="1" t="s">
        <v>2854</v>
      </c>
      <c r="H592" s="1">
        <f t="shared" si="9"/>
        <v>6</v>
      </c>
      <c r="I592">
        <v>34</v>
      </c>
      <c r="J592">
        <v>205</v>
      </c>
      <c r="K592">
        <v>90</v>
      </c>
      <c r="L592" t="s">
        <v>2855</v>
      </c>
    </row>
    <row r="593" spans="1:12" x14ac:dyDescent="0.3">
      <c r="A593" t="s">
        <v>2856</v>
      </c>
      <c r="B593" t="s">
        <v>2857</v>
      </c>
      <c r="D593" t="s">
        <v>30</v>
      </c>
      <c r="H593" s="1">
        <f t="shared" si="9"/>
        <v>1</v>
      </c>
      <c r="I593">
        <v>62</v>
      </c>
      <c r="J593">
        <v>204</v>
      </c>
      <c r="K593">
        <v>43</v>
      </c>
      <c r="L593" t="s">
        <v>2858</v>
      </c>
    </row>
    <row r="594" spans="1:12" x14ac:dyDescent="0.3">
      <c r="A594" t="s">
        <v>2859</v>
      </c>
      <c r="B594" t="s">
        <v>2860</v>
      </c>
      <c r="C594" t="s">
        <v>2861</v>
      </c>
      <c r="D594" t="s">
        <v>13</v>
      </c>
      <c r="G594" t="s">
        <v>2862</v>
      </c>
      <c r="H594" s="1">
        <f t="shared" si="9"/>
        <v>3</v>
      </c>
      <c r="I594">
        <v>42</v>
      </c>
      <c r="J594">
        <v>202</v>
      </c>
      <c r="K594">
        <v>16</v>
      </c>
      <c r="L594" t="s">
        <v>2863</v>
      </c>
    </row>
    <row r="595" spans="1:12" ht="409.6" x14ac:dyDescent="0.3">
      <c r="A595" t="s">
        <v>2864</v>
      </c>
      <c r="C595" t="s">
        <v>2865</v>
      </c>
      <c r="D595" t="s">
        <v>13</v>
      </c>
      <c r="G595" s="1" t="s">
        <v>2866</v>
      </c>
      <c r="H595" s="1">
        <f t="shared" si="9"/>
        <v>1</v>
      </c>
      <c r="I595">
        <v>13</v>
      </c>
      <c r="J595">
        <v>202</v>
      </c>
      <c r="K595">
        <v>23</v>
      </c>
      <c r="L595" t="s">
        <v>2867</v>
      </c>
    </row>
    <row r="596" spans="1:12" x14ac:dyDescent="0.3">
      <c r="A596" t="s">
        <v>2868</v>
      </c>
      <c r="B596" t="s">
        <v>2869</v>
      </c>
      <c r="C596" t="s">
        <v>2870</v>
      </c>
      <c r="D596" t="s">
        <v>13</v>
      </c>
      <c r="E596" t="s">
        <v>2871</v>
      </c>
      <c r="G596" t="s">
        <v>2872</v>
      </c>
      <c r="H596" s="1">
        <f t="shared" si="9"/>
        <v>3</v>
      </c>
      <c r="I596">
        <v>30</v>
      </c>
      <c r="J596">
        <v>202</v>
      </c>
      <c r="K596">
        <v>92</v>
      </c>
      <c r="L596" t="s">
        <v>2873</v>
      </c>
    </row>
    <row r="597" spans="1:12" x14ac:dyDescent="0.3">
      <c r="A597" t="s">
        <v>2874</v>
      </c>
      <c r="B597" t="s">
        <v>2875</v>
      </c>
      <c r="D597" t="s">
        <v>13</v>
      </c>
      <c r="E597" t="s">
        <v>2876</v>
      </c>
      <c r="F597" t="b">
        <v>1</v>
      </c>
      <c r="G597" t="s">
        <v>2877</v>
      </c>
      <c r="H597" s="1">
        <f t="shared" si="9"/>
        <v>12</v>
      </c>
      <c r="I597">
        <v>100</v>
      </c>
      <c r="J597">
        <v>202</v>
      </c>
      <c r="K597">
        <v>19</v>
      </c>
      <c r="L597" t="s">
        <v>2878</v>
      </c>
    </row>
    <row r="598" spans="1:12" x14ac:dyDescent="0.3">
      <c r="A598" t="s">
        <v>2879</v>
      </c>
      <c r="B598" t="s">
        <v>2880</v>
      </c>
      <c r="C598" t="s">
        <v>1035</v>
      </c>
      <c r="D598" t="s">
        <v>30</v>
      </c>
      <c r="E598" t="s">
        <v>2881</v>
      </c>
      <c r="H598" s="1">
        <f t="shared" si="9"/>
        <v>1</v>
      </c>
      <c r="I598">
        <v>92</v>
      </c>
      <c r="J598">
        <v>202</v>
      </c>
      <c r="K598">
        <v>6</v>
      </c>
      <c r="L598" t="s">
        <v>2882</v>
      </c>
    </row>
    <row r="599" spans="1:12" x14ac:dyDescent="0.3">
      <c r="A599" t="s">
        <v>2883</v>
      </c>
      <c r="B599" t="s">
        <v>2884</v>
      </c>
      <c r="C599" t="s">
        <v>1235</v>
      </c>
      <c r="D599" t="s">
        <v>2161</v>
      </c>
      <c r="H599" s="1">
        <f t="shared" si="9"/>
        <v>1</v>
      </c>
      <c r="I599">
        <v>27</v>
      </c>
      <c r="J599">
        <v>201</v>
      </c>
      <c r="K599">
        <v>8</v>
      </c>
      <c r="L599" t="s">
        <v>2885</v>
      </c>
    </row>
    <row r="600" spans="1:12" x14ac:dyDescent="0.3">
      <c r="A600" t="s">
        <v>2886</v>
      </c>
      <c r="B600" t="s">
        <v>2887</v>
      </c>
      <c r="C600" t="s">
        <v>2888</v>
      </c>
      <c r="D600" t="s">
        <v>30</v>
      </c>
      <c r="E600" t="s">
        <v>2889</v>
      </c>
      <c r="G600" t="s">
        <v>2890</v>
      </c>
      <c r="H600" s="1">
        <f t="shared" si="9"/>
        <v>5</v>
      </c>
      <c r="I600">
        <v>43</v>
      </c>
      <c r="J600">
        <v>201</v>
      </c>
      <c r="K600">
        <v>76</v>
      </c>
      <c r="L600" t="s">
        <v>2891</v>
      </c>
    </row>
    <row r="601" spans="1:12" x14ac:dyDescent="0.3">
      <c r="A601" t="s">
        <v>2892</v>
      </c>
      <c r="B601" t="s">
        <v>2893</v>
      </c>
      <c r="D601" t="s">
        <v>30</v>
      </c>
      <c r="E601" t="s">
        <v>2894</v>
      </c>
      <c r="G601" t="s">
        <v>2895</v>
      </c>
      <c r="H601" s="1">
        <f t="shared" si="9"/>
        <v>17</v>
      </c>
      <c r="I601">
        <v>135</v>
      </c>
      <c r="J601">
        <v>201</v>
      </c>
      <c r="K601">
        <v>148</v>
      </c>
      <c r="L601" t="s">
        <v>2896</v>
      </c>
    </row>
    <row r="602" spans="1:12" x14ac:dyDescent="0.3">
      <c r="A602" t="s">
        <v>2897</v>
      </c>
      <c r="B602" t="s">
        <v>2898</v>
      </c>
      <c r="C602" t="s">
        <v>2899</v>
      </c>
      <c r="D602" t="s">
        <v>13</v>
      </c>
      <c r="F602" t="b">
        <v>1</v>
      </c>
      <c r="G602" t="s">
        <v>2900</v>
      </c>
      <c r="H602" s="1">
        <f t="shared" si="9"/>
        <v>3</v>
      </c>
      <c r="I602">
        <v>187</v>
      </c>
      <c r="J602">
        <v>201</v>
      </c>
      <c r="K602">
        <v>152</v>
      </c>
      <c r="L602" t="s">
        <v>2901</v>
      </c>
    </row>
  </sheetData>
  <autoFilter ref="A1:L602" xr:uid="{32ECF556-BD54-4967-BE80-0DFEEC860EB4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C8F5-1A50-42DB-A97B-0E4C9C0E43C2}">
  <dimension ref="A1:F436"/>
  <sheetViews>
    <sheetView tabSelected="1" workbookViewId="0">
      <selection activeCell="F2" sqref="F2"/>
    </sheetView>
  </sheetViews>
  <sheetFormatPr defaultRowHeight="14.4" x14ac:dyDescent="0.3"/>
  <sheetData>
    <row r="1" spans="1:6" x14ac:dyDescent="0.3">
      <c r="A1" t="s">
        <v>6</v>
      </c>
      <c r="B1" t="s">
        <v>8</v>
      </c>
      <c r="C1" t="s">
        <v>2903</v>
      </c>
    </row>
    <row r="2" spans="1:6" ht="331.2" x14ac:dyDescent="0.3">
      <c r="A2" s="1" t="s">
        <v>15</v>
      </c>
      <c r="B2">
        <v>26445</v>
      </c>
      <c r="C2">
        <f>IF(A2="",0,LEN(TRIM(A2))-LEN(SUBSTITUTE(A2," ",""))+1)</f>
        <v>23</v>
      </c>
      <c r="F2">
        <f>SLOPE(B2:B436,C2:C436)</f>
        <v>28.212562507267581</v>
      </c>
    </row>
    <row r="3" spans="1:6" x14ac:dyDescent="0.3">
      <c r="A3" t="s">
        <v>25</v>
      </c>
      <c r="B3">
        <v>8618</v>
      </c>
      <c r="C3">
        <f t="shared" ref="C3:C66" si="0">IF(A3="",0,LEN(TRIM(A3))-LEN(SUBSTITUTE(A3," ",""))+1)</f>
        <v>23</v>
      </c>
    </row>
    <row r="4" spans="1:6" x14ac:dyDescent="0.3">
      <c r="A4" t="s">
        <v>32</v>
      </c>
      <c r="B4">
        <v>6756</v>
      </c>
      <c r="C4">
        <f t="shared" si="0"/>
        <v>9</v>
      </c>
    </row>
    <row r="5" spans="1:6" x14ac:dyDescent="0.3">
      <c r="A5" t="s">
        <v>38</v>
      </c>
      <c r="B5">
        <v>6716</v>
      </c>
      <c r="C5">
        <f t="shared" si="0"/>
        <v>20</v>
      </c>
    </row>
    <row r="6" spans="1:6" x14ac:dyDescent="0.3">
      <c r="A6" t="s">
        <v>44</v>
      </c>
      <c r="B6">
        <v>6523</v>
      </c>
      <c r="C6">
        <f t="shared" si="0"/>
        <v>4</v>
      </c>
    </row>
    <row r="7" spans="1:6" x14ac:dyDescent="0.3">
      <c r="A7" t="s">
        <v>48</v>
      </c>
      <c r="B7">
        <v>6460</v>
      </c>
      <c r="C7">
        <f t="shared" si="0"/>
        <v>5</v>
      </c>
    </row>
    <row r="8" spans="1:6" x14ac:dyDescent="0.3">
      <c r="A8" t="s">
        <v>58</v>
      </c>
      <c r="B8">
        <v>5506</v>
      </c>
      <c r="C8">
        <f t="shared" si="0"/>
        <v>10</v>
      </c>
    </row>
    <row r="9" spans="1:6" x14ac:dyDescent="0.3">
      <c r="A9" t="s">
        <v>64</v>
      </c>
      <c r="B9">
        <v>5466</v>
      </c>
      <c r="C9">
        <f t="shared" si="0"/>
        <v>3</v>
      </c>
    </row>
    <row r="10" spans="1:6" x14ac:dyDescent="0.3">
      <c r="A10" t="s">
        <v>70</v>
      </c>
      <c r="B10">
        <v>5294</v>
      </c>
      <c r="C10">
        <f t="shared" si="0"/>
        <v>6</v>
      </c>
    </row>
    <row r="11" spans="1:6" x14ac:dyDescent="0.3">
      <c r="A11" t="s">
        <v>83</v>
      </c>
      <c r="B11">
        <v>3936</v>
      </c>
      <c r="C11">
        <f t="shared" si="0"/>
        <v>7</v>
      </c>
    </row>
    <row r="12" spans="1:6" x14ac:dyDescent="0.3">
      <c r="A12" t="s">
        <v>89</v>
      </c>
      <c r="B12">
        <v>3859</v>
      </c>
      <c r="C12">
        <f t="shared" si="0"/>
        <v>2</v>
      </c>
    </row>
    <row r="13" spans="1:6" ht="302.39999999999998" x14ac:dyDescent="0.3">
      <c r="A13" s="1" t="s">
        <v>95</v>
      </c>
      <c r="B13">
        <v>3819</v>
      </c>
      <c r="C13">
        <f t="shared" si="0"/>
        <v>20</v>
      </c>
    </row>
    <row r="14" spans="1:6" x14ac:dyDescent="0.3">
      <c r="A14" t="s">
        <v>100</v>
      </c>
      <c r="B14">
        <v>3721</v>
      </c>
      <c r="C14">
        <f t="shared" si="0"/>
        <v>7</v>
      </c>
    </row>
    <row r="15" spans="1:6" x14ac:dyDescent="0.3">
      <c r="A15" t="s">
        <v>106</v>
      </c>
      <c r="B15">
        <v>3635</v>
      </c>
      <c r="C15">
        <f t="shared" si="0"/>
        <v>8</v>
      </c>
    </row>
    <row r="16" spans="1:6" x14ac:dyDescent="0.3">
      <c r="A16" t="s">
        <v>112</v>
      </c>
      <c r="B16">
        <v>3609</v>
      </c>
      <c r="C16">
        <f t="shared" si="0"/>
        <v>17</v>
      </c>
    </row>
    <row r="17" spans="1:3" x14ac:dyDescent="0.3">
      <c r="A17" t="s">
        <v>118</v>
      </c>
      <c r="B17">
        <v>3562</v>
      </c>
      <c r="C17">
        <f t="shared" si="0"/>
        <v>6</v>
      </c>
    </row>
    <row r="18" spans="1:3" x14ac:dyDescent="0.3">
      <c r="A18" t="s">
        <v>124</v>
      </c>
      <c r="B18">
        <v>3227</v>
      </c>
      <c r="C18">
        <f t="shared" si="0"/>
        <v>15</v>
      </c>
    </row>
    <row r="19" spans="1:3" x14ac:dyDescent="0.3">
      <c r="A19" t="s">
        <v>128</v>
      </c>
      <c r="B19">
        <v>3115</v>
      </c>
      <c r="C19">
        <f t="shared" si="0"/>
        <v>9</v>
      </c>
    </row>
    <row r="20" spans="1:3" ht="158.4" x14ac:dyDescent="0.3">
      <c r="A20" s="1" t="s">
        <v>134</v>
      </c>
      <c r="B20">
        <v>3069</v>
      </c>
      <c r="C20">
        <f t="shared" si="0"/>
        <v>4</v>
      </c>
    </row>
    <row r="21" spans="1:3" x14ac:dyDescent="0.3">
      <c r="A21" t="s">
        <v>139</v>
      </c>
      <c r="B21">
        <v>2991</v>
      </c>
      <c r="C21">
        <f t="shared" si="0"/>
        <v>12</v>
      </c>
    </row>
    <row r="22" spans="1:3" x14ac:dyDescent="0.3">
      <c r="A22" t="s">
        <v>145</v>
      </c>
      <c r="B22">
        <v>2922</v>
      </c>
      <c r="C22">
        <f t="shared" si="0"/>
        <v>16</v>
      </c>
    </row>
    <row r="23" spans="1:3" x14ac:dyDescent="0.3">
      <c r="A23" t="s">
        <v>150</v>
      </c>
      <c r="B23">
        <v>2717</v>
      </c>
      <c r="C23">
        <f t="shared" si="0"/>
        <v>18</v>
      </c>
    </row>
    <row r="24" spans="1:3" x14ac:dyDescent="0.3">
      <c r="A24" t="s">
        <v>155</v>
      </c>
      <c r="B24">
        <v>2654</v>
      </c>
      <c r="C24">
        <f t="shared" si="0"/>
        <v>10</v>
      </c>
    </row>
    <row r="25" spans="1:3" x14ac:dyDescent="0.3">
      <c r="A25" t="s">
        <v>165</v>
      </c>
      <c r="B25">
        <v>2474</v>
      </c>
      <c r="C25">
        <f t="shared" si="0"/>
        <v>7</v>
      </c>
    </row>
    <row r="26" spans="1:3" x14ac:dyDescent="0.3">
      <c r="A26" t="s">
        <v>170</v>
      </c>
      <c r="B26">
        <v>2442</v>
      </c>
      <c r="C26">
        <f t="shared" si="0"/>
        <v>4</v>
      </c>
    </row>
    <row r="27" spans="1:3" x14ac:dyDescent="0.3">
      <c r="A27" t="s">
        <v>175</v>
      </c>
      <c r="B27">
        <v>2425</v>
      </c>
      <c r="C27">
        <f t="shared" si="0"/>
        <v>5</v>
      </c>
    </row>
    <row r="28" spans="1:3" x14ac:dyDescent="0.3">
      <c r="A28" t="s">
        <v>181</v>
      </c>
      <c r="B28">
        <v>2403</v>
      </c>
      <c r="C28">
        <f t="shared" si="0"/>
        <v>17</v>
      </c>
    </row>
    <row r="29" spans="1:3" ht="201.6" x14ac:dyDescent="0.3">
      <c r="A29" s="1" t="s">
        <v>187</v>
      </c>
      <c r="B29">
        <v>2368</v>
      </c>
      <c r="C29">
        <f t="shared" si="0"/>
        <v>10</v>
      </c>
    </row>
    <row r="30" spans="1:3" x14ac:dyDescent="0.3">
      <c r="A30" t="s">
        <v>192</v>
      </c>
      <c r="B30">
        <v>2341</v>
      </c>
      <c r="C30">
        <f t="shared" si="0"/>
        <v>5</v>
      </c>
    </row>
    <row r="31" spans="1:3" x14ac:dyDescent="0.3">
      <c r="A31" t="s">
        <v>202</v>
      </c>
      <c r="B31">
        <v>2226</v>
      </c>
      <c r="C31">
        <f t="shared" si="0"/>
        <v>3</v>
      </c>
    </row>
    <row r="32" spans="1:3" x14ac:dyDescent="0.3">
      <c r="A32" t="s">
        <v>208</v>
      </c>
      <c r="B32">
        <v>2133</v>
      </c>
      <c r="C32">
        <f t="shared" si="0"/>
        <v>5</v>
      </c>
    </row>
    <row r="33" spans="1:3" x14ac:dyDescent="0.3">
      <c r="A33" t="s">
        <v>213</v>
      </c>
      <c r="B33">
        <v>2114</v>
      </c>
      <c r="C33">
        <f t="shared" si="0"/>
        <v>16</v>
      </c>
    </row>
    <row r="34" spans="1:3" x14ac:dyDescent="0.3">
      <c r="A34" t="s">
        <v>218</v>
      </c>
      <c r="B34">
        <v>2094</v>
      </c>
      <c r="C34">
        <f t="shared" si="0"/>
        <v>24</v>
      </c>
    </row>
    <row r="35" spans="1:3" ht="230.4" x14ac:dyDescent="0.3">
      <c r="A35" s="1" t="s">
        <v>222</v>
      </c>
      <c r="B35">
        <v>2053</v>
      </c>
      <c r="C35">
        <f t="shared" si="0"/>
        <v>11</v>
      </c>
    </row>
    <row r="36" spans="1:3" x14ac:dyDescent="0.3">
      <c r="A36" t="s">
        <v>232</v>
      </c>
      <c r="B36">
        <v>1929</v>
      </c>
      <c r="C36">
        <f t="shared" si="0"/>
        <v>20</v>
      </c>
    </row>
    <row r="37" spans="1:3" x14ac:dyDescent="0.3">
      <c r="A37" t="s">
        <v>237</v>
      </c>
      <c r="B37">
        <v>1895</v>
      </c>
      <c r="C37">
        <f t="shared" si="0"/>
        <v>12</v>
      </c>
    </row>
    <row r="38" spans="1:3" ht="158.4" x14ac:dyDescent="0.3">
      <c r="A38" s="1" t="s">
        <v>243</v>
      </c>
      <c r="B38">
        <v>1882</v>
      </c>
      <c r="C38">
        <f t="shared" si="0"/>
        <v>11</v>
      </c>
    </row>
    <row r="39" spans="1:3" x14ac:dyDescent="0.3">
      <c r="A39" t="s">
        <v>249</v>
      </c>
      <c r="B39">
        <v>1881</v>
      </c>
      <c r="C39">
        <f t="shared" si="0"/>
        <v>15</v>
      </c>
    </row>
    <row r="40" spans="1:3" ht="288" x14ac:dyDescent="0.3">
      <c r="A40" s="1" t="s">
        <v>255</v>
      </c>
      <c r="B40">
        <v>1862</v>
      </c>
      <c r="C40">
        <f t="shared" si="0"/>
        <v>25</v>
      </c>
    </row>
    <row r="41" spans="1:3" x14ac:dyDescent="0.3">
      <c r="A41" t="s">
        <v>260</v>
      </c>
      <c r="B41">
        <v>1804</v>
      </c>
      <c r="C41">
        <f t="shared" si="0"/>
        <v>11</v>
      </c>
    </row>
    <row r="42" spans="1:3" x14ac:dyDescent="0.3">
      <c r="A42" t="s">
        <v>266</v>
      </c>
      <c r="B42">
        <v>1730</v>
      </c>
      <c r="C42">
        <f t="shared" si="0"/>
        <v>1</v>
      </c>
    </row>
    <row r="43" spans="1:3" x14ac:dyDescent="0.3">
      <c r="A43" t="s">
        <v>286</v>
      </c>
      <c r="B43">
        <v>1654</v>
      </c>
      <c r="C43">
        <f t="shared" si="0"/>
        <v>3</v>
      </c>
    </row>
    <row r="44" spans="1:3" x14ac:dyDescent="0.3">
      <c r="A44" t="s">
        <v>292</v>
      </c>
      <c r="B44">
        <v>1645</v>
      </c>
      <c r="C44">
        <f t="shared" si="0"/>
        <v>10</v>
      </c>
    </row>
    <row r="45" spans="1:3" x14ac:dyDescent="0.3">
      <c r="A45" t="s">
        <v>297</v>
      </c>
      <c r="B45">
        <v>1571</v>
      </c>
      <c r="C45">
        <f t="shared" si="0"/>
        <v>3</v>
      </c>
    </row>
    <row r="46" spans="1:3" x14ac:dyDescent="0.3">
      <c r="A46" t="s">
        <v>312</v>
      </c>
      <c r="B46">
        <v>1518</v>
      </c>
      <c r="C46">
        <f t="shared" si="0"/>
        <v>6</v>
      </c>
    </row>
    <row r="47" spans="1:3" x14ac:dyDescent="0.3">
      <c r="A47" t="s">
        <v>318</v>
      </c>
      <c r="B47">
        <v>1498</v>
      </c>
      <c r="C47">
        <f t="shared" si="0"/>
        <v>6</v>
      </c>
    </row>
    <row r="48" spans="1:3" x14ac:dyDescent="0.3">
      <c r="A48" t="s">
        <v>325</v>
      </c>
      <c r="B48">
        <v>1393</v>
      </c>
      <c r="C48">
        <f t="shared" si="0"/>
        <v>25</v>
      </c>
    </row>
    <row r="49" spans="1:3" ht="100.8" x14ac:dyDescent="0.3">
      <c r="A49" s="1" t="s">
        <v>329</v>
      </c>
      <c r="B49">
        <v>1371</v>
      </c>
      <c r="C49">
        <f t="shared" si="0"/>
        <v>9</v>
      </c>
    </row>
    <row r="50" spans="1:3" x14ac:dyDescent="0.3">
      <c r="A50" t="s">
        <v>337</v>
      </c>
      <c r="B50">
        <v>1345</v>
      </c>
      <c r="C50">
        <f t="shared" si="0"/>
        <v>17</v>
      </c>
    </row>
    <row r="51" spans="1:3" x14ac:dyDescent="0.3">
      <c r="A51" t="s">
        <v>342</v>
      </c>
      <c r="B51">
        <v>1343</v>
      </c>
      <c r="C51">
        <f t="shared" si="0"/>
        <v>5</v>
      </c>
    </row>
    <row r="52" spans="1:3" ht="187.2" x14ac:dyDescent="0.3">
      <c r="A52" s="1" t="s">
        <v>351</v>
      </c>
      <c r="B52">
        <v>1279</v>
      </c>
      <c r="C52">
        <f t="shared" si="0"/>
        <v>11</v>
      </c>
    </row>
    <row r="53" spans="1:3" x14ac:dyDescent="0.3">
      <c r="A53" t="s">
        <v>356</v>
      </c>
      <c r="B53">
        <v>1265</v>
      </c>
      <c r="C53">
        <f t="shared" si="0"/>
        <v>3</v>
      </c>
    </row>
    <row r="54" spans="1:3" x14ac:dyDescent="0.3">
      <c r="A54" t="s">
        <v>360</v>
      </c>
      <c r="B54">
        <v>1257</v>
      </c>
      <c r="C54">
        <f t="shared" si="0"/>
        <v>5</v>
      </c>
    </row>
    <row r="55" spans="1:3" x14ac:dyDescent="0.3">
      <c r="A55" t="s">
        <v>365</v>
      </c>
      <c r="B55">
        <v>1243</v>
      </c>
      <c r="C55">
        <f t="shared" si="0"/>
        <v>15</v>
      </c>
    </row>
    <row r="56" spans="1:3" ht="115.2" x14ac:dyDescent="0.3">
      <c r="A56" s="1" t="s">
        <v>371</v>
      </c>
      <c r="B56">
        <v>1214</v>
      </c>
      <c r="C56">
        <f t="shared" si="0"/>
        <v>7</v>
      </c>
    </row>
    <row r="57" spans="1:3" x14ac:dyDescent="0.3">
      <c r="A57" t="s">
        <v>376</v>
      </c>
      <c r="B57">
        <v>1211</v>
      </c>
      <c r="C57">
        <f t="shared" si="0"/>
        <v>5</v>
      </c>
    </row>
    <row r="58" spans="1:3" x14ac:dyDescent="0.3">
      <c r="A58" t="s">
        <v>390</v>
      </c>
      <c r="B58">
        <v>1181</v>
      </c>
      <c r="C58">
        <f t="shared" si="0"/>
        <v>3</v>
      </c>
    </row>
    <row r="59" spans="1:3" x14ac:dyDescent="0.3">
      <c r="A59" t="s">
        <v>395</v>
      </c>
      <c r="B59">
        <v>1171</v>
      </c>
      <c r="C59">
        <f t="shared" si="0"/>
        <v>19</v>
      </c>
    </row>
    <row r="60" spans="1:3" x14ac:dyDescent="0.3">
      <c r="A60" t="s">
        <v>398</v>
      </c>
      <c r="B60">
        <v>1167</v>
      </c>
      <c r="C60">
        <f t="shared" si="0"/>
        <v>2</v>
      </c>
    </row>
    <row r="61" spans="1:3" x14ac:dyDescent="0.3">
      <c r="A61" t="s">
        <v>403</v>
      </c>
      <c r="B61">
        <v>1114</v>
      </c>
      <c r="C61">
        <f t="shared" si="0"/>
        <v>15</v>
      </c>
    </row>
    <row r="62" spans="1:3" x14ac:dyDescent="0.3">
      <c r="A62" t="s">
        <v>412</v>
      </c>
      <c r="B62">
        <v>1086</v>
      </c>
      <c r="C62">
        <f t="shared" si="0"/>
        <v>4</v>
      </c>
    </row>
    <row r="63" spans="1:3" x14ac:dyDescent="0.3">
      <c r="A63" t="s">
        <v>420</v>
      </c>
      <c r="B63">
        <v>1076</v>
      </c>
      <c r="C63">
        <f t="shared" si="0"/>
        <v>14</v>
      </c>
    </row>
    <row r="64" spans="1:3" x14ac:dyDescent="0.3">
      <c r="A64" t="s">
        <v>425</v>
      </c>
      <c r="B64">
        <v>1075</v>
      </c>
      <c r="C64">
        <f t="shared" si="0"/>
        <v>11</v>
      </c>
    </row>
    <row r="65" spans="1:3" ht="158.4" x14ac:dyDescent="0.3">
      <c r="A65" s="1" t="s">
        <v>431</v>
      </c>
      <c r="B65">
        <v>1066</v>
      </c>
      <c r="C65">
        <f t="shared" si="0"/>
        <v>10</v>
      </c>
    </row>
    <row r="66" spans="1:3" ht="273.60000000000002" x14ac:dyDescent="0.3">
      <c r="A66" s="1" t="s">
        <v>441</v>
      </c>
      <c r="B66">
        <v>1053</v>
      </c>
      <c r="C66">
        <f t="shared" si="0"/>
        <v>19</v>
      </c>
    </row>
    <row r="67" spans="1:3" x14ac:dyDescent="0.3">
      <c r="A67" t="s">
        <v>450</v>
      </c>
      <c r="B67">
        <v>1036</v>
      </c>
      <c r="C67">
        <f t="shared" ref="C67:C130" si="1">IF(A67="",0,LEN(TRIM(A67))-LEN(SUBSTITUTE(A67," ",""))+1)</f>
        <v>6</v>
      </c>
    </row>
    <row r="68" spans="1:3" x14ac:dyDescent="0.3">
      <c r="A68" t="s">
        <v>459</v>
      </c>
      <c r="B68">
        <v>1023</v>
      </c>
      <c r="C68">
        <f t="shared" si="1"/>
        <v>16</v>
      </c>
    </row>
    <row r="69" spans="1:3" x14ac:dyDescent="0.3">
      <c r="A69" t="s">
        <v>464</v>
      </c>
      <c r="B69">
        <v>1021</v>
      </c>
      <c r="C69">
        <f t="shared" si="1"/>
        <v>3</v>
      </c>
    </row>
    <row r="70" spans="1:3" x14ac:dyDescent="0.3">
      <c r="A70" t="s">
        <v>470</v>
      </c>
      <c r="B70">
        <v>1019</v>
      </c>
      <c r="C70">
        <f t="shared" si="1"/>
        <v>15</v>
      </c>
    </row>
    <row r="71" spans="1:3" x14ac:dyDescent="0.3">
      <c r="A71" t="s">
        <v>475</v>
      </c>
      <c r="B71">
        <v>1007</v>
      </c>
      <c r="C71">
        <f t="shared" si="1"/>
        <v>11</v>
      </c>
    </row>
    <row r="72" spans="1:3" x14ac:dyDescent="0.3">
      <c r="A72" t="s">
        <v>481</v>
      </c>
      <c r="B72">
        <v>1000</v>
      </c>
      <c r="C72">
        <f t="shared" si="1"/>
        <v>2</v>
      </c>
    </row>
    <row r="73" spans="1:3" ht="230.4" x14ac:dyDescent="0.3">
      <c r="A73" s="1" t="s">
        <v>486</v>
      </c>
      <c r="B73">
        <v>999</v>
      </c>
      <c r="C73">
        <f t="shared" si="1"/>
        <v>11</v>
      </c>
    </row>
    <row r="74" spans="1:3" x14ac:dyDescent="0.3">
      <c r="A74" t="s">
        <v>491</v>
      </c>
      <c r="B74">
        <v>993</v>
      </c>
      <c r="C74">
        <f t="shared" si="1"/>
        <v>3</v>
      </c>
    </row>
    <row r="75" spans="1:3" ht="230.4" x14ac:dyDescent="0.3">
      <c r="A75" s="1" t="s">
        <v>498</v>
      </c>
      <c r="B75">
        <v>984</v>
      </c>
      <c r="C75">
        <f t="shared" si="1"/>
        <v>15</v>
      </c>
    </row>
    <row r="76" spans="1:3" x14ac:dyDescent="0.3">
      <c r="A76" t="s">
        <v>504</v>
      </c>
      <c r="B76">
        <v>978</v>
      </c>
      <c r="C76">
        <f t="shared" si="1"/>
        <v>8</v>
      </c>
    </row>
    <row r="77" spans="1:3" x14ac:dyDescent="0.3">
      <c r="A77" t="s">
        <v>508</v>
      </c>
      <c r="B77">
        <v>957</v>
      </c>
      <c r="C77">
        <f t="shared" si="1"/>
        <v>5</v>
      </c>
    </row>
    <row r="78" spans="1:3" x14ac:dyDescent="0.3">
      <c r="A78" t="s">
        <v>513</v>
      </c>
      <c r="B78">
        <v>942</v>
      </c>
      <c r="C78">
        <f t="shared" si="1"/>
        <v>14</v>
      </c>
    </row>
    <row r="79" spans="1:3" ht="86.4" x14ac:dyDescent="0.3">
      <c r="A79" s="1" t="s">
        <v>517</v>
      </c>
      <c r="B79">
        <v>918</v>
      </c>
      <c r="C79">
        <f t="shared" si="1"/>
        <v>4</v>
      </c>
    </row>
    <row r="80" spans="1:3" ht="288" x14ac:dyDescent="0.3">
      <c r="A80" s="1" t="s">
        <v>522</v>
      </c>
      <c r="B80">
        <v>915</v>
      </c>
      <c r="C80">
        <f t="shared" si="1"/>
        <v>18</v>
      </c>
    </row>
    <row r="81" spans="1:3" x14ac:dyDescent="0.3">
      <c r="A81" t="s">
        <v>528</v>
      </c>
      <c r="B81">
        <v>915</v>
      </c>
      <c r="C81">
        <f t="shared" si="1"/>
        <v>6</v>
      </c>
    </row>
    <row r="82" spans="1:3" x14ac:dyDescent="0.3">
      <c r="A82" t="s">
        <v>537</v>
      </c>
      <c r="B82">
        <v>892</v>
      </c>
      <c r="C82">
        <f t="shared" si="1"/>
        <v>9</v>
      </c>
    </row>
    <row r="83" spans="1:3" ht="216" x14ac:dyDescent="0.3">
      <c r="A83" s="1" t="s">
        <v>543</v>
      </c>
      <c r="B83">
        <v>891</v>
      </c>
      <c r="C83">
        <f t="shared" si="1"/>
        <v>16</v>
      </c>
    </row>
    <row r="84" spans="1:3" ht="288" x14ac:dyDescent="0.3">
      <c r="A84" s="1" t="s">
        <v>548</v>
      </c>
      <c r="B84">
        <v>886</v>
      </c>
      <c r="C84">
        <f t="shared" si="1"/>
        <v>22</v>
      </c>
    </row>
    <row r="85" spans="1:3" x14ac:dyDescent="0.3">
      <c r="A85" t="s">
        <v>559</v>
      </c>
      <c r="B85">
        <v>878</v>
      </c>
      <c r="C85">
        <f t="shared" si="1"/>
        <v>2</v>
      </c>
    </row>
    <row r="86" spans="1:3" x14ac:dyDescent="0.3">
      <c r="A86" t="s">
        <v>564</v>
      </c>
      <c r="B86">
        <v>871</v>
      </c>
      <c r="C86">
        <f t="shared" si="1"/>
        <v>9</v>
      </c>
    </row>
    <row r="87" spans="1:3" x14ac:dyDescent="0.3">
      <c r="A87" t="s">
        <v>571</v>
      </c>
      <c r="B87">
        <v>866</v>
      </c>
      <c r="C87">
        <f t="shared" si="1"/>
        <v>4</v>
      </c>
    </row>
    <row r="88" spans="1:3" x14ac:dyDescent="0.3">
      <c r="A88" t="s">
        <v>576</v>
      </c>
      <c r="B88">
        <v>863</v>
      </c>
      <c r="C88">
        <f t="shared" si="1"/>
        <v>10</v>
      </c>
    </row>
    <row r="89" spans="1:3" x14ac:dyDescent="0.3">
      <c r="A89" t="s">
        <v>581</v>
      </c>
      <c r="B89">
        <v>863</v>
      </c>
      <c r="C89">
        <f t="shared" si="1"/>
        <v>5</v>
      </c>
    </row>
    <row r="90" spans="1:3" x14ac:dyDescent="0.3">
      <c r="A90" t="s">
        <v>590</v>
      </c>
      <c r="B90">
        <v>844</v>
      </c>
      <c r="C90">
        <f t="shared" si="1"/>
        <v>3</v>
      </c>
    </row>
    <row r="91" spans="1:3" ht="259.2" x14ac:dyDescent="0.3">
      <c r="A91" s="1" t="s">
        <v>595</v>
      </c>
      <c r="B91">
        <v>839</v>
      </c>
      <c r="C91">
        <f t="shared" si="1"/>
        <v>14</v>
      </c>
    </row>
    <row r="92" spans="1:3" x14ac:dyDescent="0.3">
      <c r="A92" t="s">
        <v>600</v>
      </c>
      <c r="B92">
        <v>835</v>
      </c>
      <c r="C92">
        <f t="shared" si="1"/>
        <v>13</v>
      </c>
    </row>
    <row r="93" spans="1:3" ht="273.60000000000002" x14ac:dyDescent="0.3">
      <c r="A93" s="1" t="s">
        <v>609</v>
      </c>
      <c r="B93">
        <v>814</v>
      </c>
      <c r="C93">
        <f t="shared" si="1"/>
        <v>19</v>
      </c>
    </row>
    <row r="94" spans="1:3" x14ac:dyDescent="0.3">
      <c r="A94" t="s">
        <v>614</v>
      </c>
      <c r="B94">
        <v>810</v>
      </c>
      <c r="C94">
        <f t="shared" si="1"/>
        <v>3</v>
      </c>
    </row>
    <row r="95" spans="1:3" ht="316.8" x14ac:dyDescent="0.3">
      <c r="A95" s="1" t="s">
        <v>620</v>
      </c>
      <c r="B95">
        <v>798</v>
      </c>
      <c r="C95">
        <f t="shared" si="1"/>
        <v>21</v>
      </c>
    </row>
    <row r="96" spans="1:3" x14ac:dyDescent="0.3">
      <c r="A96" t="s">
        <v>627</v>
      </c>
      <c r="B96">
        <v>788</v>
      </c>
      <c r="C96">
        <f t="shared" si="1"/>
        <v>2</v>
      </c>
    </row>
    <row r="97" spans="1:3" x14ac:dyDescent="0.3">
      <c r="A97" t="s">
        <v>632</v>
      </c>
      <c r="B97">
        <v>782</v>
      </c>
      <c r="C97">
        <f t="shared" si="1"/>
        <v>8</v>
      </c>
    </row>
    <row r="98" spans="1:3" x14ac:dyDescent="0.3">
      <c r="A98" t="s">
        <v>637</v>
      </c>
      <c r="B98">
        <v>776</v>
      </c>
      <c r="C98">
        <f t="shared" si="1"/>
        <v>4</v>
      </c>
    </row>
    <row r="99" spans="1:3" ht="216" x14ac:dyDescent="0.3">
      <c r="A99" s="1" t="s">
        <v>642</v>
      </c>
      <c r="B99">
        <v>775</v>
      </c>
      <c r="C99">
        <f t="shared" si="1"/>
        <v>6</v>
      </c>
    </row>
    <row r="100" spans="1:3" x14ac:dyDescent="0.3">
      <c r="A100" t="s">
        <v>648</v>
      </c>
      <c r="B100">
        <v>775</v>
      </c>
      <c r="C100">
        <f t="shared" si="1"/>
        <v>2</v>
      </c>
    </row>
    <row r="101" spans="1:3" x14ac:dyDescent="0.3">
      <c r="A101" t="s">
        <v>654</v>
      </c>
      <c r="B101">
        <v>767</v>
      </c>
      <c r="C101">
        <f t="shared" si="1"/>
        <v>14</v>
      </c>
    </row>
    <row r="102" spans="1:3" x14ac:dyDescent="0.3">
      <c r="A102" t="s">
        <v>666</v>
      </c>
      <c r="B102">
        <v>765</v>
      </c>
      <c r="C102">
        <f t="shared" si="1"/>
        <v>5</v>
      </c>
    </row>
    <row r="103" spans="1:3" x14ac:dyDescent="0.3">
      <c r="A103" t="s">
        <v>671</v>
      </c>
      <c r="B103">
        <v>763</v>
      </c>
      <c r="C103">
        <f t="shared" si="1"/>
        <v>1</v>
      </c>
    </row>
    <row r="104" spans="1:3" ht="100.8" x14ac:dyDescent="0.3">
      <c r="A104" s="1" t="s">
        <v>675</v>
      </c>
      <c r="B104">
        <v>758</v>
      </c>
      <c r="C104">
        <f t="shared" si="1"/>
        <v>9</v>
      </c>
    </row>
    <row r="105" spans="1:3" ht="86.4" x14ac:dyDescent="0.3">
      <c r="A105" s="1" t="s">
        <v>681</v>
      </c>
      <c r="B105">
        <v>758</v>
      </c>
      <c r="C105">
        <f t="shared" si="1"/>
        <v>3</v>
      </c>
    </row>
    <row r="106" spans="1:3" x14ac:dyDescent="0.3">
      <c r="A106" t="s">
        <v>687</v>
      </c>
      <c r="B106">
        <v>755</v>
      </c>
      <c r="C106">
        <f t="shared" si="1"/>
        <v>9</v>
      </c>
    </row>
    <row r="107" spans="1:3" x14ac:dyDescent="0.3">
      <c r="A107" t="s">
        <v>693</v>
      </c>
      <c r="B107">
        <v>752</v>
      </c>
      <c r="C107">
        <f t="shared" si="1"/>
        <v>15</v>
      </c>
    </row>
    <row r="108" spans="1:3" x14ac:dyDescent="0.3">
      <c r="A108" t="s">
        <v>698</v>
      </c>
      <c r="B108">
        <v>751</v>
      </c>
      <c r="C108">
        <f t="shared" si="1"/>
        <v>1</v>
      </c>
    </row>
    <row r="109" spans="1:3" x14ac:dyDescent="0.3">
      <c r="A109" t="s">
        <v>704</v>
      </c>
      <c r="B109">
        <v>740</v>
      </c>
      <c r="C109">
        <f t="shared" si="1"/>
        <v>4</v>
      </c>
    </row>
    <row r="110" spans="1:3" x14ac:dyDescent="0.3">
      <c r="A110" t="s">
        <v>712</v>
      </c>
      <c r="B110">
        <v>735</v>
      </c>
      <c r="C110">
        <f t="shared" si="1"/>
        <v>1</v>
      </c>
    </row>
    <row r="111" spans="1:3" x14ac:dyDescent="0.3">
      <c r="A111" t="s">
        <v>717</v>
      </c>
      <c r="B111">
        <v>730</v>
      </c>
      <c r="C111">
        <f t="shared" si="1"/>
        <v>6</v>
      </c>
    </row>
    <row r="112" spans="1:3" x14ac:dyDescent="0.3">
      <c r="A112" t="s">
        <v>723</v>
      </c>
      <c r="B112">
        <v>726</v>
      </c>
      <c r="C112">
        <f t="shared" si="1"/>
        <v>4</v>
      </c>
    </row>
    <row r="113" spans="1:3" x14ac:dyDescent="0.3">
      <c r="A113" t="s">
        <v>729</v>
      </c>
      <c r="B113">
        <v>717</v>
      </c>
      <c r="C113">
        <f t="shared" si="1"/>
        <v>15</v>
      </c>
    </row>
    <row r="114" spans="1:3" ht="259.2" x14ac:dyDescent="0.3">
      <c r="A114" s="1" t="s">
        <v>744</v>
      </c>
      <c r="B114">
        <v>709</v>
      </c>
      <c r="C114">
        <f t="shared" si="1"/>
        <v>9</v>
      </c>
    </row>
    <row r="115" spans="1:3" x14ac:dyDescent="0.3">
      <c r="A115" t="s">
        <v>749</v>
      </c>
      <c r="B115">
        <v>708</v>
      </c>
      <c r="C115">
        <f t="shared" si="1"/>
        <v>30</v>
      </c>
    </row>
    <row r="116" spans="1:3" ht="144" x14ac:dyDescent="0.3">
      <c r="A116" s="1" t="s">
        <v>755</v>
      </c>
      <c r="B116">
        <v>692</v>
      </c>
      <c r="C116">
        <f t="shared" si="1"/>
        <v>5</v>
      </c>
    </row>
    <row r="117" spans="1:3" x14ac:dyDescent="0.3">
      <c r="A117" t="s">
        <v>760</v>
      </c>
      <c r="B117">
        <v>691</v>
      </c>
      <c r="C117">
        <f t="shared" si="1"/>
        <v>17</v>
      </c>
    </row>
    <row r="118" spans="1:3" x14ac:dyDescent="0.3">
      <c r="A118" t="s">
        <v>765</v>
      </c>
      <c r="B118">
        <v>691</v>
      </c>
      <c r="C118">
        <f t="shared" si="1"/>
        <v>7</v>
      </c>
    </row>
    <row r="119" spans="1:3" x14ac:dyDescent="0.3">
      <c r="A119" t="s">
        <v>775</v>
      </c>
      <c r="B119">
        <v>690</v>
      </c>
      <c r="C119">
        <f t="shared" si="1"/>
        <v>4</v>
      </c>
    </row>
    <row r="120" spans="1:3" x14ac:dyDescent="0.3">
      <c r="A120" t="s">
        <v>780</v>
      </c>
      <c r="B120">
        <v>689</v>
      </c>
      <c r="C120">
        <f t="shared" si="1"/>
        <v>1</v>
      </c>
    </row>
    <row r="121" spans="1:3" x14ac:dyDescent="0.3">
      <c r="A121" t="s">
        <v>786</v>
      </c>
      <c r="B121">
        <v>683</v>
      </c>
      <c r="C121">
        <f t="shared" si="1"/>
        <v>14</v>
      </c>
    </row>
    <row r="122" spans="1:3" x14ac:dyDescent="0.3">
      <c r="A122" t="s">
        <v>790</v>
      </c>
      <c r="B122">
        <v>680</v>
      </c>
      <c r="C122">
        <f t="shared" si="1"/>
        <v>6</v>
      </c>
    </row>
    <row r="123" spans="1:3" x14ac:dyDescent="0.3">
      <c r="A123" t="s">
        <v>794</v>
      </c>
      <c r="B123">
        <v>678</v>
      </c>
      <c r="C123">
        <f t="shared" si="1"/>
        <v>3</v>
      </c>
    </row>
    <row r="124" spans="1:3" x14ac:dyDescent="0.3">
      <c r="A124" t="s">
        <v>798</v>
      </c>
      <c r="B124">
        <v>678</v>
      </c>
      <c r="C124">
        <f t="shared" si="1"/>
        <v>1</v>
      </c>
    </row>
    <row r="125" spans="1:3" x14ac:dyDescent="0.3">
      <c r="A125" t="s">
        <v>806</v>
      </c>
      <c r="B125">
        <v>654</v>
      </c>
      <c r="C125">
        <f t="shared" si="1"/>
        <v>1</v>
      </c>
    </row>
    <row r="126" spans="1:3" x14ac:dyDescent="0.3">
      <c r="A126" t="s">
        <v>819</v>
      </c>
      <c r="B126">
        <v>651</v>
      </c>
      <c r="C126">
        <f t="shared" si="1"/>
        <v>19</v>
      </c>
    </row>
    <row r="127" spans="1:3" x14ac:dyDescent="0.3">
      <c r="A127" t="s">
        <v>822</v>
      </c>
      <c r="B127">
        <v>650</v>
      </c>
      <c r="C127">
        <f t="shared" si="1"/>
        <v>3</v>
      </c>
    </row>
    <row r="128" spans="1:3" x14ac:dyDescent="0.3">
      <c r="A128" t="s">
        <v>830</v>
      </c>
      <c r="B128">
        <v>647</v>
      </c>
      <c r="C128">
        <f t="shared" si="1"/>
        <v>13</v>
      </c>
    </row>
    <row r="129" spans="1:3" x14ac:dyDescent="0.3">
      <c r="A129" t="s">
        <v>835</v>
      </c>
      <c r="B129">
        <v>640</v>
      </c>
      <c r="C129">
        <f t="shared" si="1"/>
        <v>6</v>
      </c>
    </row>
    <row r="130" spans="1:3" x14ac:dyDescent="0.3">
      <c r="A130" t="s">
        <v>839</v>
      </c>
      <c r="B130">
        <v>636</v>
      </c>
      <c r="C130">
        <f t="shared" si="1"/>
        <v>3</v>
      </c>
    </row>
    <row r="131" spans="1:3" ht="273.60000000000002" x14ac:dyDescent="0.3">
      <c r="A131" s="1" t="s">
        <v>843</v>
      </c>
      <c r="B131">
        <v>633</v>
      </c>
      <c r="C131">
        <f t="shared" ref="C131:C194" si="2">IF(A131="",0,LEN(TRIM(A131))-LEN(SUBSTITUTE(A131," ",""))+1)</f>
        <v>15</v>
      </c>
    </row>
    <row r="132" spans="1:3" x14ac:dyDescent="0.3">
      <c r="A132" t="s">
        <v>847</v>
      </c>
      <c r="B132">
        <v>632</v>
      </c>
      <c r="C132">
        <f t="shared" si="2"/>
        <v>2</v>
      </c>
    </row>
    <row r="133" spans="1:3" ht="72" x14ac:dyDescent="0.3">
      <c r="A133" s="1" t="s">
        <v>853</v>
      </c>
      <c r="B133">
        <v>618</v>
      </c>
      <c r="C133">
        <f t="shared" si="2"/>
        <v>4</v>
      </c>
    </row>
    <row r="134" spans="1:3" x14ac:dyDescent="0.3">
      <c r="A134" t="s">
        <v>859</v>
      </c>
      <c r="B134">
        <v>609</v>
      </c>
      <c r="C134">
        <f t="shared" si="2"/>
        <v>7</v>
      </c>
    </row>
    <row r="135" spans="1:3" x14ac:dyDescent="0.3">
      <c r="A135" t="s">
        <v>867</v>
      </c>
      <c r="B135">
        <v>606</v>
      </c>
      <c r="C135">
        <f t="shared" si="2"/>
        <v>3</v>
      </c>
    </row>
    <row r="136" spans="1:3" x14ac:dyDescent="0.3">
      <c r="A136" t="s">
        <v>873</v>
      </c>
      <c r="B136">
        <v>604</v>
      </c>
      <c r="C136">
        <f t="shared" si="2"/>
        <v>23</v>
      </c>
    </row>
    <row r="137" spans="1:3" x14ac:dyDescent="0.3">
      <c r="A137" t="s">
        <v>878</v>
      </c>
      <c r="B137">
        <v>603</v>
      </c>
      <c r="C137">
        <f t="shared" si="2"/>
        <v>4</v>
      </c>
    </row>
    <row r="138" spans="1:3" x14ac:dyDescent="0.3">
      <c r="A138" t="s">
        <v>891</v>
      </c>
      <c r="B138">
        <v>596</v>
      </c>
      <c r="C138">
        <f t="shared" si="2"/>
        <v>3</v>
      </c>
    </row>
    <row r="139" spans="1:3" x14ac:dyDescent="0.3">
      <c r="A139" t="s">
        <v>896</v>
      </c>
      <c r="B139">
        <v>596</v>
      </c>
      <c r="C139">
        <f t="shared" si="2"/>
        <v>19</v>
      </c>
    </row>
    <row r="140" spans="1:3" x14ac:dyDescent="0.3">
      <c r="A140" t="s">
        <v>905</v>
      </c>
      <c r="B140">
        <v>593</v>
      </c>
      <c r="C140">
        <f t="shared" si="2"/>
        <v>7</v>
      </c>
    </row>
    <row r="141" spans="1:3" ht="115.2" x14ac:dyDescent="0.3">
      <c r="A141" s="1" t="s">
        <v>918</v>
      </c>
      <c r="B141">
        <v>584</v>
      </c>
      <c r="C141">
        <f t="shared" si="2"/>
        <v>6</v>
      </c>
    </row>
    <row r="142" spans="1:3" ht="316.8" x14ac:dyDescent="0.3">
      <c r="A142" s="1" t="s">
        <v>922</v>
      </c>
      <c r="B142">
        <v>584</v>
      </c>
      <c r="C142">
        <f t="shared" si="2"/>
        <v>14</v>
      </c>
    </row>
    <row r="143" spans="1:3" x14ac:dyDescent="0.3">
      <c r="A143" t="s">
        <v>927</v>
      </c>
      <c r="B143">
        <v>582</v>
      </c>
      <c r="C143">
        <f t="shared" si="2"/>
        <v>9</v>
      </c>
    </row>
    <row r="144" spans="1:3" x14ac:dyDescent="0.3">
      <c r="A144" t="s">
        <v>937</v>
      </c>
      <c r="B144">
        <v>580</v>
      </c>
      <c r="C144">
        <f t="shared" si="2"/>
        <v>3</v>
      </c>
    </row>
    <row r="145" spans="1:3" x14ac:dyDescent="0.3">
      <c r="A145" t="s">
        <v>941</v>
      </c>
      <c r="B145">
        <v>579</v>
      </c>
      <c r="C145">
        <f t="shared" si="2"/>
        <v>3</v>
      </c>
    </row>
    <row r="146" spans="1:3" ht="187.2" x14ac:dyDescent="0.3">
      <c r="A146" s="1" t="s">
        <v>947</v>
      </c>
      <c r="B146">
        <v>572</v>
      </c>
      <c r="C146">
        <f t="shared" si="2"/>
        <v>16</v>
      </c>
    </row>
    <row r="147" spans="1:3" x14ac:dyDescent="0.3">
      <c r="A147" t="s">
        <v>953</v>
      </c>
      <c r="B147">
        <v>572</v>
      </c>
      <c r="C147">
        <f t="shared" si="2"/>
        <v>6</v>
      </c>
    </row>
    <row r="148" spans="1:3" ht="57.6" x14ac:dyDescent="0.3">
      <c r="A148" s="1" t="s">
        <v>957</v>
      </c>
      <c r="B148">
        <v>567</v>
      </c>
      <c r="C148">
        <f t="shared" si="2"/>
        <v>2</v>
      </c>
    </row>
    <row r="149" spans="1:3" x14ac:dyDescent="0.3">
      <c r="A149" t="s">
        <v>962</v>
      </c>
      <c r="B149">
        <v>562</v>
      </c>
      <c r="C149">
        <f t="shared" si="2"/>
        <v>5</v>
      </c>
    </row>
    <row r="150" spans="1:3" x14ac:dyDescent="0.3">
      <c r="A150" t="s">
        <v>967</v>
      </c>
      <c r="B150">
        <v>558</v>
      </c>
      <c r="C150">
        <f t="shared" si="2"/>
        <v>3</v>
      </c>
    </row>
    <row r="151" spans="1:3" x14ac:dyDescent="0.3">
      <c r="A151" t="s">
        <v>972</v>
      </c>
      <c r="B151">
        <v>556</v>
      </c>
      <c r="C151">
        <f t="shared" si="2"/>
        <v>18</v>
      </c>
    </row>
    <row r="152" spans="1:3" ht="57.6" x14ac:dyDescent="0.3">
      <c r="A152" s="1" t="s">
        <v>977</v>
      </c>
      <c r="B152">
        <v>549</v>
      </c>
      <c r="C152">
        <f t="shared" si="2"/>
        <v>1</v>
      </c>
    </row>
    <row r="153" spans="1:3" ht="345.6" x14ac:dyDescent="0.3">
      <c r="A153" s="1" t="s">
        <v>982</v>
      </c>
      <c r="B153">
        <v>548</v>
      </c>
      <c r="C153">
        <f t="shared" si="2"/>
        <v>20</v>
      </c>
    </row>
    <row r="154" spans="1:3" x14ac:dyDescent="0.3">
      <c r="A154" t="s">
        <v>987</v>
      </c>
      <c r="B154">
        <v>545</v>
      </c>
      <c r="C154">
        <f t="shared" si="2"/>
        <v>3</v>
      </c>
    </row>
    <row r="155" spans="1:3" x14ac:dyDescent="0.3">
      <c r="A155" t="s">
        <v>992</v>
      </c>
      <c r="B155">
        <v>545</v>
      </c>
      <c r="C155">
        <f t="shared" si="2"/>
        <v>13</v>
      </c>
    </row>
    <row r="156" spans="1:3" x14ac:dyDescent="0.3">
      <c r="A156" t="s">
        <v>998</v>
      </c>
      <c r="B156">
        <v>544</v>
      </c>
      <c r="C156">
        <f t="shared" si="2"/>
        <v>7</v>
      </c>
    </row>
    <row r="157" spans="1:3" x14ac:dyDescent="0.3">
      <c r="A157" t="s">
        <v>1004</v>
      </c>
      <c r="B157">
        <v>544</v>
      </c>
      <c r="C157">
        <f t="shared" si="2"/>
        <v>9</v>
      </c>
    </row>
    <row r="158" spans="1:3" x14ac:dyDescent="0.3">
      <c r="A158" t="s">
        <v>648</v>
      </c>
      <c r="B158">
        <v>543</v>
      </c>
      <c r="C158">
        <f t="shared" si="2"/>
        <v>2</v>
      </c>
    </row>
    <row r="159" spans="1:3" ht="230.4" x14ac:dyDescent="0.3">
      <c r="A159" s="1" t="s">
        <v>1017</v>
      </c>
      <c r="B159">
        <v>541</v>
      </c>
      <c r="C159">
        <f t="shared" si="2"/>
        <v>9</v>
      </c>
    </row>
    <row r="160" spans="1:3" x14ac:dyDescent="0.3">
      <c r="A160" t="s">
        <v>1025</v>
      </c>
      <c r="B160">
        <v>537</v>
      </c>
      <c r="C160">
        <f t="shared" si="2"/>
        <v>5</v>
      </c>
    </row>
    <row r="161" spans="1:3" x14ac:dyDescent="0.3">
      <c r="A161" t="s">
        <v>1031</v>
      </c>
      <c r="B161">
        <v>535</v>
      </c>
      <c r="C161">
        <f t="shared" si="2"/>
        <v>12</v>
      </c>
    </row>
    <row r="162" spans="1:3" x14ac:dyDescent="0.3">
      <c r="A162" t="s">
        <v>1041</v>
      </c>
      <c r="B162">
        <v>529</v>
      </c>
      <c r="C162">
        <f t="shared" si="2"/>
        <v>2</v>
      </c>
    </row>
    <row r="163" spans="1:3" x14ac:dyDescent="0.3">
      <c r="A163" t="s">
        <v>1047</v>
      </c>
      <c r="B163">
        <v>526</v>
      </c>
      <c r="C163">
        <f t="shared" si="2"/>
        <v>15</v>
      </c>
    </row>
    <row r="164" spans="1:3" x14ac:dyDescent="0.3">
      <c r="A164" t="s">
        <v>1052</v>
      </c>
      <c r="B164">
        <v>523</v>
      </c>
      <c r="C164">
        <f t="shared" si="2"/>
        <v>4</v>
      </c>
    </row>
    <row r="165" spans="1:3" x14ac:dyDescent="0.3">
      <c r="A165" t="s">
        <v>1058</v>
      </c>
      <c r="B165">
        <v>521</v>
      </c>
      <c r="C165">
        <f t="shared" si="2"/>
        <v>14</v>
      </c>
    </row>
    <row r="166" spans="1:3" x14ac:dyDescent="0.3">
      <c r="A166" t="s">
        <v>1062</v>
      </c>
      <c r="B166">
        <v>520</v>
      </c>
      <c r="C166">
        <f t="shared" si="2"/>
        <v>18</v>
      </c>
    </row>
    <row r="167" spans="1:3" x14ac:dyDescent="0.3">
      <c r="A167" t="s">
        <v>1068</v>
      </c>
      <c r="B167">
        <v>517</v>
      </c>
      <c r="C167">
        <f t="shared" si="2"/>
        <v>17</v>
      </c>
    </row>
    <row r="168" spans="1:3" ht="201.6" x14ac:dyDescent="0.3">
      <c r="A168" s="1" t="s">
        <v>1074</v>
      </c>
      <c r="B168">
        <v>516</v>
      </c>
      <c r="C168">
        <f t="shared" si="2"/>
        <v>8</v>
      </c>
    </row>
    <row r="169" spans="1:3" x14ac:dyDescent="0.3">
      <c r="A169" t="s">
        <v>1079</v>
      </c>
      <c r="B169">
        <v>515</v>
      </c>
      <c r="C169">
        <f t="shared" si="2"/>
        <v>10</v>
      </c>
    </row>
    <row r="170" spans="1:3" x14ac:dyDescent="0.3">
      <c r="A170" t="s">
        <v>1083</v>
      </c>
      <c r="B170">
        <v>513</v>
      </c>
      <c r="C170">
        <f t="shared" si="2"/>
        <v>17</v>
      </c>
    </row>
    <row r="171" spans="1:3" x14ac:dyDescent="0.3">
      <c r="A171" t="s">
        <v>1102</v>
      </c>
      <c r="B171">
        <v>500</v>
      </c>
      <c r="C171">
        <f t="shared" si="2"/>
        <v>6</v>
      </c>
    </row>
    <row r="172" spans="1:3" x14ac:dyDescent="0.3">
      <c r="A172" t="s">
        <v>1106</v>
      </c>
      <c r="B172">
        <v>500</v>
      </c>
      <c r="C172">
        <f t="shared" si="2"/>
        <v>3</v>
      </c>
    </row>
    <row r="173" spans="1:3" ht="230.4" x14ac:dyDescent="0.3">
      <c r="A173" s="1" t="s">
        <v>1113</v>
      </c>
      <c r="B173">
        <v>499</v>
      </c>
      <c r="C173">
        <f t="shared" si="2"/>
        <v>17</v>
      </c>
    </row>
    <row r="174" spans="1:3" ht="244.8" x14ac:dyDescent="0.3">
      <c r="A174" s="1" t="s">
        <v>1122</v>
      </c>
      <c r="B174">
        <v>494</v>
      </c>
      <c r="C174">
        <f t="shared" si="2"/>
        <v>13</v>
      </c>
    </row>
    <row r="175" spans="1:3" x14ac:dyDescent="0.3">
      <c r="A175" t="s">
        <v>1127</v>
      </c>
      <c r="B175">
        <v>494</v>
      </c>
      <c r="C175">
        <f t="shared" si="2"/>
        <v>5</v>
      </c>
    </row>
    <row r="176" spans="1:3" x14ac:dyDescent="0.3">
      <c r="A176" t="s">
        <v>1132</v>
      </c>
      <c r="B176">
        <v>493</v>
      </c>
      <c r="C176">
        <f t="shared" si="2"/>
        <v>4</v>
      </c>
    </row>
    <row r="177" spans="1:3" ht="201.6" x14ac:dyDescent="0.3">
      <c r="A177" s="1" t="s">
        <v>1137</v>
      </c>
      <c r="B177">
        <v>489</v>
      </c>
      <c r="C177">
        <f t="shared" si="2"/>
        <v>11</v>
      </c>
    </row>
    <row r="178" spans="1:3" x14ac:dyDescent="0.3">
      <c r="A178" t="s">
        <v>648</v>
      </c>
      <c r="B178">
        <v>488</v>
      </c>
      <c r="C178">
        <f t="shared" si="2"/>
        <v>2</v>
      </c>
    </row>
    <row r="179" spans="1:3" x14ac:dyDescent="0.3">
      <c r="A179" t="s">
        <v>1153</v>
      </c>
      <c r="B179">
        <v>483</v>
      </c>
      <c r="C179">
        <f t="shared" si="2"/>
        <v>17</v>
      </c>
    </row>
    <row r="180" spans="1:3" x14ac:dyDescent="0.3">
      <c r="A180" t="s">
        <v>1158</v>
      </c>
      <c r="B180">
        <v>483</v>
      </c>
      <c r="C180">
        <f t="shared" si="2"/>
        <v>11</v>
      </c>
    </row>
    <row r="181" spans="1:3" x14ac:dyDescent="0.3">
      <c r="A181" t="s">
        <v>1169</v>
      </c>
      <c r="B181">
        <v>479</v>
      </c>
      <c r="C181">
        <f t="shared" si="2"/>
        <v>4</v>
      </c>
    </row>
    <row r="182" spans="1:3" x14ac:dyDescent="0.3">
      <c r="A182" t="s">
        <v>1174</v>
      </c>
      <c r="B182">
        <v>476</v>
      </c>
      <c r="C182">
        <f t="shared" si="2"/>
        <v>2</v>
      </c>
    </row>
    <row r="183" spans="1:3" ht="302.39999999999998" x14ac:dyDescent="0.3">
      <c r="A183" s="1" t="s">
        <v>1186</v>
      </c>
      <c r="B183">
        <v>469</v>
      </c>
      <c r="C183">
        <f t="shared" si="2"/>
        <v>22</v>
      </c>
    </row>
    <row r="184" spans="1:3" x14ac:dyDescent="0.3">
      <c r="A184" t="s">
        <v>1196</v>
      </c>
      <c r="B184">
        <v>466</v>
      </c>
      <c r="C184">
        <f t="shared" si="2"/>
        <v>25</v>
      </c>
    </row>
    <row r="185" spans="1:3" x14ac:dyDescent="0.3">
      <c r="A185" t="s">
        <v>1201</v>
      </c>
      <c r="B185">
        <v>465</v>
      </c>
      <c r="C185">
        <f t="shared" si="2"/>
        <v>5</v>
      </c>
    </row>
    <row r="186" spans="1:3" x14ac:dyDescent="0.3">
      <c r="A186" t="s">
        <v>1206</v>
      </c>
      <c r="B186">
        <v>463</v>
      </c>
      <c r="C186">
        <f t="shared" si="2"/>
        <v>10</v>
      </c>
    </row>
    <row r="187" spans="1:3" ht="230.4" x14ac:dyDescent="0.3">
      <c r="A187" s="1" t="s">
        <v>1213</v>
      </c>
      <c r="B187">
        <v>462</v>
      </c>
      <c r="C187">
        <f t="shared" si="2"/>
        <v>17</v>
      </c>
    </row>
    <row r="188" spans="1:3" x14ac:dyDescent="0.3">
      <c r="A188" t="s">
        <v>1219</v>
      </c>
      <c r="B188">
        <v>461</v>
      </c>
      <c r="C188">
        <f t="shared" si="2"/>
        <v>2</v>
      </c>
    </row>
    <row r="189" spans="1:3" x14ac:dyDescent="0.3">
      <c r="A189" t="s">
        <v>1223</v>
      </c>
      <c r="B189">
        <v>456</v>
      </c>
      <c r="C189">
        <f t="shared" si="2"/>
        <v>1</v>
      </c>
    </row>
    <row r="190" spans="1:3" x14ac:dyDescent="0.3">
      <c r="A190" t="s">
        <v>1228</v>
      </c>
      <c r="B190">
        <v>455</v>
      </c>
      <c r="C190">
        <f t="shared" si="2"/>
        <v>18</v>
      </c>
    </row>
    <row r="191" spans="1:3" x14ac:dyDescent="0.3">
      <c r="A191" t="s">
        <v>1231</v>
      </c>
      <c r="B191">
        <v>455</v>
      </c>
      <c r="C191">
        <f t="shared" si="2"/>
        <v>3</v>
      </c>
    </row>
    <row r="192" spans="1:3" x14ac:dyDescent="0.3">
      <c r="A192" t="s">
        <v>1236</v>
      </c>
      <c r="B192">
        <v>448</v>
      </c>
      <c r="C192">
        <f t="shared" si="2"/>
        <v>2</v>
      </c>
    </row>
    <row r="193" spans="1:3" x14ac:dyDescent="0.3">
      <c r="A193" t="s">
        <v>1249</v>
      </c>
      <c r="B193">
        <v>445</v>
      </c>
      <c r="C193">
        <f t="shared" si="2"/>
        <v>6</v>
      </c>
    </row>
    <row r="194" spans="1:3" x14ac:dyDescent="0.3">
      <c r="A194" t="s">
        <v>1259</v>
      </c>
      <c r="B194">
        <v>437</v>
      </c>
      <c r="C194">
        <f t="shared" si="2"/>
        <v>13</v>
      </c>
    </row>
    <row r="195" spans="1:3" x14ac:dyDescent="0.3">
      <c r="A195" t="s">
        <v>1264</v>
      </c>
      <c r="B195">
        <v>434</v>
      </c>
      <c r="C195">
        <f t="shared" ref="C195:C258" si="3">IF(A195="",0,LEN(TRIM(A195))-LEN(SUBSTITUTE(A195," ",""))+1)</f>
        <v>6</v>
      </c>
    </row>
    <row r="196" spans="1:3" x14ac:dyDescent="0.3">
      <c r="A196" t="s">
        <v>1274</v>
      </c>
      <c r="B196">
        <v>431</v>
      </c>
      <c r="C196">
        <f t="shared" si="3"/>
        <v>20</v>
      </c>
    </row>
    <row r="197" spans="1:3" x14ac:dyDescent="0.3">
      <c r="A197" t="s">
        <v>1278</v>
      </c>
      <c r="B197">
        <v>429</v>
      </c>
      <c r="C197">
        <f t="shared" si="3"/>
        <v>3</v>
      </c>
    </row>
    <row r="198" spans="1:3" ht="201.6" x14ac:dyDescent="0.3">
      <c r="A198" s="1" t="s">
        <v>1282</v>
      </c>
      <c r="B198">
        <v>427</v>
      </c>
      <c r="C198">
        <f t="shared" si="3"/>
        <v>10</v>
      </c>
    </row>
    <row r="199" spans="1:3" x14ac:dyDescent="0.3">
      <c r="A199" t="s">
        <v>1288</v>
      </c>
      <c r="B199">
        <v>425</v>
      </c>
      <c r="C199">
        <f t="shared" si="3"/>
        <v>2</v>
      </c>
    </row>
    <row r="200" spans="1:3" x14ac:dyDescent="0.3">
      <c r="A200" t="s">
        <v>1298</v>
      </c>
      <c r="B200">
        <v>421</v>
      </c>
      <c r="C200">
        <f t="shared" si="3"/>
        <v>14</v>
      </c>
    </row>
    <row r="201" spans="1:3" x14ac:dyDescent="0.3">
      <c r="A201" t="s">
        <v>1304</v>
      </c>
      <c r="B201">
        <v>420</v>
      </c>
      <c r="C201">
        <f t="shared" si="3"/>
        <v>11</v>
      </c>
    </row>
    <row r="202" spans="1:3" x14ac:dyDescent="0.3">
      <c r="A202" t="s">
        <v>1317</v>
      </c>
      <c r="B202">
        <v>419</v>
      </c>
      <c r="C202">
        <f t="shared" si="3"/>
        <v>6</v>
      </c>
    </row>
    <row r="203" spans="1:3" x14ac:dyDescent="0.3">
      <c r="A203" t="s">
        <v>1321</v>
      </c>
      <c r="B203">
        <v>415</v>
      </c>
      <c r="C203">
        <f t="shared" si="3"/>
        <v>1</v>
      </c>
    </row>
    <row r="204" spans="1:3" x14ac:dyDescent="0.3">
      <c r="A204" t="s">
        <v>1326</v>
      </c>
      <c r="B204">
        <v>414</v>
      </c>
      <c r="C204">
        <f t="shared" si="3"/>
        <v>14</v>
      </c>
    </row>
    <row r="205" spans="1:3" x14ac:dyDescent="0.3">
      <c r="A205" t="s">
        <v>1332</v>
      </c>
      <c r="B205">
        <v>411</v>
      </c>
      <c r="C205">
        <f t="shared" si="3"/>
        <v>3</v>
      </c>
    </row>
    <row r="206" spans="1:3" x14ac:dyDescent="0.3">
      <c r="A206" t="s">
        <v>1336</v>
      </c>
      <c r="B206">
        <v>406</v>
      </c>
      <c r="C206">
        <f t="shared" si="3"/>
        <v>29</v>
      </c>
    </row>
    <row r="207" spans="1:3" ht="244.8" x14ac:dyDescent="0.3">
      <c r="A207" s="1" t="s">
        <v>1341</v>
      </c>
      <c r="B207">
        <v>406</v>
      </c>
      <c r="C207">
        <f t="shared" si="3"/>
        <v>24</v>
      </c>
    </row>
    <row r="208" spans="1:3" x14ac:dyDescent="0.3">
      <c r="A208" t="s">
        <v>1347</v>
      </c>
      <c r="B208">
        <v>403</v>
      </c>
      <c r="C208">
        <f t="shared" si="3"/>
        <v>14</v>
      </c>
    </row>
    <row r="209" spans="1:3" x14ac:dyDescent="0.3">
      <c r="A209" t="s">
        <v>1352</v>
      </c>
      <c r="B209">
        <v>403</v>
      </c>
      <c r="C209">
        <f t="shared" si="3"/>
        <v>13</v>
      </c>
    </row>
    <row r="210" spans="1:3" x14ac:dyDescent="0.3">
      <c r="A210" t="s">
        <v>1356</v>
      </c>
      <c r="B210">
        <v>403</v>
      </c>
      <c r="C210">
        <f t="shared" si="3"/>
        <v>3</v>
      </c>
    </row>
    <row r="211" spans="1:3" ht="172.8" x14ac:dyDescent="0.3">
      <c r="A211" s="1" t="s">
        <v>1362</v>
      </c>
      <c r="B211">
        <v>401</v>
      </c>
      <c r="C211">
        <f t="shared" si="3"/>
        <v>6</v>
      </c>
    </row>
    <row r="212" spans="1:3" x14ac:dyDescent="0.3">
      <c r="A212" t="s">
        <v>1367</v>
      </c>
      <c r="B212">
        <v>400</v>
      </c>
      <c r="C212">
        <f t="shared" si="3"/>
        <v>20</v>
      </c>
    </row>
    <row r="213" spans="1:3" ht="129.6" x14ac:dyDescent="0.3">
      <c r="A213" s="1" t="s">
        <v>1376</v>
      </c>
      <c r="B213">
        <v>398</v>
      </c>
      <c r="C213">
        <f t="shared" si="3"/>
        <v>9</v>
      </c>
    </row>
    <row r="214" spans="1:3" x14ac:dyDescent="0.3">
      <c r="A214" t="s">
        <v>1390</v>
      </c>
      <c r="B214">
        <v>394</v>
      </c>
      <c r="C214">
        <f t="shared" si="3"/>
        <v>6</v>
      </c>
    </row>
    <row r="215" spans="1:3" x14ac:dyDescent="0.3">
      <c r="A215" t="s">
        <v>1399</v>
      </c>
      <c r="B215">
        <v>393</v>
      </c>
      <c r="C215">
        <f t="shared" si="3"/>
        <v>3</v>
      </c>
    </row>
    <row r="216" spans="1:3" x14ac:dyDescent="0.3">
      <c r="A216" t="s">
        <v>1404</v>
      </c>
      <c r="B216">
        <v>392</v>
      </c>
      <c r="C216">
        <f t="shared" si="3"/>
        <v>9</v>
      </c>
    </row>
    <row r="217" spans="1:3" x14ac:dyDescent="0.3">
      <c r="A217" t="s">
        <v>1410</v>
      </c>
      <c r="B217">
        <v>390</v>
      </c>
      <c r="C217">
        <f t="shared" si="3"/>
        <v>25</v>
      </c>
    </row>
    <row r="218" spans="1:3" x14ac:dyDescent="0.3">
      <c r="A218" t="s">
        <v>1414</v>
      </c>
      <c r="B218">
        <v>390</v>
      </c>
      <c r="C218">
        <f t="shared" si="3"/>
        <v>3</v>
      </c>
    </row>
    <row r="219" spans="1:3" x14ac:dyDescent="0.3">
      <c r="A219" t="s">
        <v>1423</v>
      </c>
      <c r="B219">
        <v>389</v>
      </c>
      <c r="C219">
        <f t="shared" si="3"/>
        <v>14</v>
      </c>
    </row>
    <row r="220" spans="1:3" x14ac:dyDescent="0.3">
      <c r="A220" t="s">
        <v>1429</v>
      </c>
      <c r="B220">
        <v>388</v>
      </c>
      <c r="C220">
        <f t="shared" si="3"/>
        <v>18</v>
      </c>
    </row>
    <row r="221" spans="1:3" ht="360" x14ac:dyDescent="0.3">
      <c r="A221" s="1" t="s">
        <v>1438</v>
      </c>
      <c r="B221">
        <v>388</v>
      </c>
      <c r="C221">
        <f t="shared" si="3"/>
        <v>23</v>
      </c>
    </row>
    <row r="222" spans="1:3" x14ac:dyDescent="0.3">
      <c r="A222" t="s">
        <v>1443</v>
      </c>
      <c r="B222">
        <v>386</v>
      </c>
      <c r="C222">
        <f t="shared" si="3"/>
        <v>3</v>
      </c>
    </row>
    <row r="223" spans="1:3" x14ac:dyDescent="0.3">
      <c r="A223" t="s">
        <v>1452</v>
      </c>
      <c r="B223">
        <v>384</v>
      </c>
      <c r="C223">
        <f t="shared" si="3"/>
        <v>19</v>
      </c>
    </row>
    <row r="224" spans="1:3" ht="302.39999999999998" x14ac:dyDescent="0.3">
      <c r="A224" s="1" t="s">
        <v>1462</v>
      </c>
      <c r="B224">
        <v>383</v>
      </c>
      <c r="C224">
        <f t="shared" si="3"/>
        <v>13</v>
      </c>
    </row>
    <row r="225" spans="1:3" x14ac:dyDescent="0.3">
      <c r="A225" t="s">
        <v>1466</v>
      </c>
      <c r="B225">
        <v>382</v>
      </c>
      <c r="C225">
        <f t="shared" si="3"/>
        <v>19</v>
      </c>
    </row>
    <row r="226" spans="1:3" ht="302.39999999999998" x14ac:dyDescent="0.3">
      <c r="A226" s="1" t="s">
        <v>1480</v>
      </c>
      <c r="B226">
        <v>381</v>
      </c>
      <c r="C226">
        <f t="shared" si="3"/>
        <v>8</v>
      </c>
    </row>
    <row r="227" spans="1:3" ht="201.6" x14ac:dyDescent="0.3">
      <c r="A227" s="1" t="s">
        <v>1495</v>
      </c>
      <c r="B227">
        <v>377</v>
      </c>
      <c r="C227">
        <f t="shared" si="3"/>
        <v>6</v>
      </c>
    </row>
    <row r="228" spans="1:3" x14ac:dyDescent="0.3">
      <c r="A228" t="s">
        <v>1499</v>
      </c>
      <c r="B228">
        <v>377</v>
      </c>
      <c r="C228">
        <f t="shared" si="3"/>
        <v>13</v>
      </c>
    </row>
    <row r="229" spans="1:3" ht="158.4" x14ac:dyDescent="0.3">
      <c r="A229" s="1" t="s">
        <v>1503</v>
      </c>
      <c r="B229">
        <v>377</v>
      </c>
      <c r="C229">
        <f t="shared" si="3"/>
        <v>9</v>
      </c>
    </row>
    <row r="230" spans="1:3" x14ac:dyDescent="0.3">
      <c r="A230" t="s">
        <v>1508</v>
      </c>
      <c r="B230">
        <v>376</v>
      </c>
      <c r="C230">
        <f t="shared" si="3"/>
        <v>6</v>
      </c>
    </row>
    <row r="231" spans="1:3" x14ac:dyDescent="0.3">
      <c r="A231" t="s">
        <v>1514</v>
      </c>
      <c r="B231">
        <v>375</v>
      </c>
      <c r="C231">
        <f t="shared" si="3"/>
        <v>3</v>
      </c>
    </row>
    <row r="232" spans="1:3" x14ac:dyDescent="0.3">
      <c r="A232" t="s">
        <v>1522</v>
      </c>
      <c r="B232">
        <v>373</v>
      </c>
      <c r="C232">
        <f t="shared" si="3"/>
        <v>6</v>
      </c>
    </row>
    <row r="233" spans="1:3" x14ac:dyDescent="0.3">
      <c r="A233" t="s">
        <v>1528</v>
      </c>
      <c r="B233">
        <v>373</v>
      </c>
      <c r="C233">
        <f t="shared" si="3"/>
        <v>4</v>
      </c>
    </row>
    <row r="234" spans="1:3" x14ac:dyDescent="0.3">
      <c r="A234" t="s">
        <v>1537</v>
      </c>
      <c r="B234">
        <v>370</v>
      </c>
      <c r="C234">
        <f t="shared" si="3"/>
        <v>25</v>
      </c>
    </row>
    <row r="235" spans="1:3" x14ac:dyDescent="0.3">
      <c r="A235" t="s">
        <v>1543</v>
      </c>
      <c r="B235">
        <v>370</v>
      </c>
      <c r="C235">
        <f t="shared" si="3"/>
        <v>3</v>
      </c>
    </row>
    <row r="236" spans="1:3" x14ac:dyDescent="0.3">
      <c r="A236" t="s">
        <v>1556</v>
      </c>
      <c r="B236">
        <v>369</v>
      </c>
      <c r="C236">
        <f t="shared" si="3"/>
        <v>17</v>
      </c>
    </row>
    <row r="237" spans="1:3" x14ac:dyDescent="0.3">
      <c r="A237" t="s">
        <v>1561</v>
      </c>
      <c r="B237">
        <v>367</v>
      </c>
      <c r="C237">
        <f t="shared" si="3"/>
        <v>4</v>
      </c>
    </row>
    <row r="238" spans="1:3" x14ac:dyDescent="0.3">
      <c r="A238" t="s">
        <v>1566</v>
      </c>
      <c r="B238">
        <v>367</v>
      </c>
      <c r="C238">
        <f t="shared" si="3"/>
        <v>1</v>
      </c>
    </row>
    <row r="239" spans="1:3" x14ac:dyDescent="0.3">
      <c r="A239" t="s">
        <v>1569</v>
      </c>
      <c r="B239">
        <v>367</v>
      </c>
      <c r="C239">
        <f t="shared" si="3"/>
        <v>7</v>
      </c>
    </row>
    <row r="240" spans="1:3" x14ac:dyDescent="0.3">
      <c r="A240" t="s">
        <v>1573</v>
      </c>
      <c r="B240">
        <v>365</v>
      </c>
      <c r="C240">
        <f t="shared" si="3"/>
        <v>4</v>
      </c>
    </row>
    <row r="241" spans="1:3" ht="345.6" x14ac:dyDescent="0.3">
      <c r="A241" s="1" t="s">
        <v>1579</v>
      </c>
      <c r="B241">
        <v>364</v>
      </c>
      <c r="C241">
        <f t="shared" si="3"/>
        <v>17</v>
      </c>
    </row>
    <row r="242" spans="1:3" ht="172.8" x14ac:dyDescent="0.3">
      <c r="A242" s="1" t="s">
        <v>1583</v>
      </c>
      <c r="B242">
        <v>363</v>
      </c>
      <c r="C242">
        <f t="shared" si="3"/>
        <v>5</v>
      </c>
    </row>
    <row r="243" spans="1:3" x14ac:dyDescent="0.3">
      <c r="A243" t="s">
        <v>1588</v>
      </c>
      <c r="B243">
        <v>362</v>
      </c>
      <c r="C243">
        <f t="shared" si="3"/>
        <v>14</v>
      </c>
    </row>
    <row r="244" spans="1:3" x14ac:dyDescent="0.3">
      <c r="A244" t="s">
        <v>1593</v>
      </c>
      <c r="B244">
        <v>362</v>
      </c>
      <c r="C244">
        <f t="shared" si="3"/>
        <v>4</v>
      </c>
    </row>
    <row r="245" spans="1:3" x14ac:dyDescent="0.3">
      <c r="A245" t="s">
        <v>1602</v>
      </c>
      <c r="B245">
        <v>361</v>
      </c>
      <c r="C245">
        <f t="shared" si="3"/>
        <v>1</v>
      </c>
    </row>
    <row r="246" spans="1:3" x14ac:dyDescent="0.3">
      <c r="A246" t="s">
        <v>1623</v>
      </c>
      <c r="B246">
        <v>357</v>
      </c>
      <c r="C246">
        <f t="shared" si="3"/>
        <v>7</v>
      </c>
    </row>
    <row r="247" spans="1:3" x14ac:dyDescent="0.3">
      <c r="A247" t="s">
        <v>1628</v>
      </c>
      <c r="B247">
        <v>357</v>
      </c>
      <c r="C247">
        <f t="shared" si="3"/>
        <v>8</v>
      </c>
    </row>
    <row r="248" spans="1:3" x14ac:dyDescent="0.3">
      <c r="A248" t="s">
        <v>1632</v>
      </c>
      <c r="B248">
        <v>356</v>
      </c>
      <c r="C248">
        <f t="shared" si="3"/>
        <v>13</v>
      </c>
    </row>
    <row r="249" spans="1:3" x14ac:dyDescent="0.3">
      <c r="A249" t="s">
        <v>1641</v>
      </c>
      <c r="B249">
        <v>356</v>
      </c>
      <c r="C249">
        <f t="shared" si="3"/>
        <v>12</v>
      </c>
    </row>
    <row r="250" spans="1:3" x14ac:dyDescent="0.3">
      <c r="A250" t="s">
        <v>1649</v>
      </c>
      <c r="B250">
        <v>353</v>
      </c>
      <c r="C250">
        <f t="shared" si="3"/>
        <v>23</v>
      </c>
    </row>
    <row r="251" spans="1:3" x14ac:dyDescent="0.3">
      <c r="A251" t="s">
        <v>1655</v>
      </c>
      <c r="B251">
        <v>353</v>
      </c>
      <c r="C251">
        <f t="shared" si="3"/>
        <v>3</v>
      </c>
    </row>
    <row r="252" spans="1:3" x14ac:dyDescent="0.3">
      <c r="A252" t="s">
        <v>1667</v>
      </c>
      <c r="B252">
        <v>351</v>
      </c>
      <c r="C252">
        <f t="shared" si="3"/>
        <v>15</v>
      </c>
    </row>
    <row r="253" spans="1:3" x14ac:dyDescent="0.3">
      <c r="A253" t="s">
        <v>1676</v>
      </c>
      <c r="B253">
        <v>350</v>
      </c>
      <c r="C253">
        <f t="shared" si="3"/>
        <v>6</v>
      </c>
    </row>
    <row r="254" spans="1:3" x14ac:dyDescent="0.3">
      <c r="A254" t="s">
        <v>1681</v>
      </c>
      <c r="B254">
        <v>350</v>
      </c>
      <c r="C254">
        <f t="shared" si="3"/>
        <v>2</v>
      </c>
    </row>
    <row r="255" spans="1:3" x14ac:dyDescent="0.3">
      <c r="A255" t="s">
        <v>1685</v>
      </c>
      <c r="B255">
        <v>347</v>
      </c>
      <c r="C255">
        <f t="shared" si="3"/>
        <v>6</v>
      </c>
    </row>
    <row r="256" spans="1:3" x14ac:dyDescent="0.3">
      <c r="A256" t="s">
        <v>1695</v>
      </c>
      <c r="B256">
        <v>345</v>
      </c>
      <c r="C256">
        <f t="shared" si="3"/>
        <v>1</v>
      </c>
    </row>
    <row r="257" spans="1:3" x14ac:dyDescent="0.3">
      <c r="A257" t="s">
        <v>1708</v>
      </c>
      <c r="B257">
        <v>342</v>
      </c>
      <c r="C257">
        <f t="shared" si="3"/>
        <v>31</v>
      </c>
    </row>
    <row r="258" spans="1:3" ht="302.39999999999998" x14ac:dyDescent="0.3">
      <c r="A258" s="1" t="s">
        <v>1714</v>
      </c>
      <c r="B258">
        <v>341</v>
      </c>
      <c r="C258">
        <f t="shared" si="3"/>
        <v>20</v>
      </c>
    </row>
    <row r="259" spans="1:3" x14ac:dyDescent="0.3">
      <c r="A259" t="s">
        <v>1719</v>
      </c>
      <c r="B259">
        <v>341</v>
      </c>
      <c r="C259">
        <f t="shared" ref="C259:C322" si="4">IF(A259="",0,LEN(TRIM(A259))-LEN(SUBSTITUTE(A259," ",""))+1)</f>
        <v>22</v>
      </c>
    </row>
    <row r="260" spans="1:3" x14ac:dyDescent="0.3">
      <c r="A260" t="s">
        <v>1723</v>
      </c>
      <c r="B260">
        <v>340</v>
      </c>
      <c r="C260">
        <f t="shared" si="4"/>
        <v>25</v>
      </c>
    </row>
    <row r="261" spans="1:3" x14ac:dyDescent="0.3">
      <c r="A261" t="s">
        <v>1730</v>
      </c>
      <c r="B261">
        <v>338</v>
      </c>
      <c r="C261">
        <f t="shared" si="4"/>
        <v>4</v>
      </c>
    </row>
    <row r="262" spans="1:3" x14ac:dyDescent="0.3">
      <c r="A262" t="s">
        <v>1734</v>
      </c>
      <c r="B262">
        <v>338</v>
      </c>
      <c r="C262">
        <f t="shared" si="4"/>
        <v>20</v>
      </c>
    </row>
    <row r="263" spans="1:3" x14ac:dyDescent="0.3">
      <c r="A263" t="s">
        <v>1738</v>
      </c>
      <c r="B263">
        <v>338</v>
      </c>
      <c r="C263">
        <f t="shared" si="4"/>
        <v>5</v>
      </c>
    </row>
    <row r="264" spans="1:3" x14ac:dyDescent="0.3">
      <c r="A264" t="s">
        <v>1761</v>
      </c>
      <c r="B264">
        <v>333</v>
      </c>
      <c r="C264">
        <f t="shared" si="4"/>
        <v>5</v>
      </c>
    </row>
    <row r="265" spans="1:3" x14ac:dyDescent="0.3">
      <c r="A265" t="s">
        <v>1765</v>
      </c>
      <c r="B265">
        <v>332</v>
      </c>
      <c r="C265">
        <f t="shared" si="4"/>
        <v>4</v>
      </c>
    </row>
    <row r="266" spans="1:3" ht="187.2" x14ac:dyDescent="0.3">
      <c r="A266" s="1" t="s">
        <v>1770</v>
      </c>
      <c r="B266">
        <v>331</v>
      </c>
      <c r="C266">
        <f t="shared" si="4"/>
        <v>13</v>
      </c>
    </row>
    <row r="267" spans="1:3" x14ac:dyDescent="0.3">
      <c r="A267" t="s">
        <v>1776</v>
      </c>
      <c r="B267">
        <v>329</v>
      </c>
      <c r="C267">
        <f t="shared" si="4"/>
        <v>5</v>
      </c>
    </row>
    <row r="268" spans="1:3" x14ac:dyDescent="0.3">
      <c r="A268" t="s">
        <v>1782</v>
      </c>
      <c r="B268">
        <v>329</v>
      </c>
      <c r="C268">
        <f t="shared" si="4"/>
        <v>9</v>
      </c>
    </row>
    <row r="269" spans="1:3" x14ac:dyDescent="0.3">
      <c r="A269" t="s">
        <v>1787</v>
      </c>
      <c r="B269">
        <v>327</v>
      </c>
      <c r="C269">
        <f t="shared" si="4"/>
        <v>8</v>
      </c>
    </row>
    <row r="270" spans="1:3" x14ac:dyDescent="0.3">
      <c r="A270" t="s">
        <v>1791</v>
      </c>
      <c r="B270">
        <v>326</v>
      </c>
      <c r="C270">
        <f t="shared" si="4"/>
        <v>2</v>
      </c>
    </row>
    <row r="271" spans="1:3" x14ac:dyDescent="0.3">
      <c r="A271" t="s">
        <v>1799</v>
      </c>
      <c r="B271">
        <v>326</v>
      </c>
      <c r="C271">
        <f t="shared" si="4"/>
        <v>3</v>
      </c>
    </row>
    <row r="272" spans="1:3" x14ac:dyDescent="0.3">
      <c r="A272" t="s">
        <v>1802</v>
      </c>
      <c r="B272">
        <v>326</v>
      </c>
      <c r="C272">
        <f t="shared" si="4"/>
        <v>2</v>
      </c>
    </row>
    <row r="273" spans="1:3" x14ac:dyDescent="0.3">
      <c r="A273" t="s">
        <v>1808</v>
      </c>
      <c r="B273">
        <v>325</v>
      </c>
      <c r="C273">
        <f t="shared" si="4"/>
        <v>11</v>
      </c>
    </row>
    <row r="274" spans="1:3" x14ac:dyDescent="0.3">
      <c r="A274" t="s">
        <v>1818</v>
      </c>
      <c r="B274">
        <v>324</v>
      </c>
      <c r="C274">
        <f t="shared" si="4"/>
        <v>2</v>
      </c>
    </row>
    <row r="275" spans="1:3" x14ac:dyDescent="0.3">
      <c r="A275" t="s">
        <v>1831</v>
      </c>
      <c r="B275">
        <v>324</v>
      </c>
      <c r="C275">
        <f t="shared" si="4"/>
        <v>7</v>
      </c>
    </row>
    <row r="276" spans="1:3" x14ac:dyDescent="0.3">
      <c r="A276" t="s">
        <v>1841</v>
      </c>
      <c r="B276">
        <v>322</v>
      </c>
      <c r="C276">
        <f t="shared" si="4"/>
        <v>6</v>
      </c>
    </row>
    <row r="277" spans="1:3" x14ac:dyDescent="0.3">
      <c r="A277" t="s">
        <v>1846</v>
      </c>
      <c r="B277">
        <v>321</v>
      </c>
      <c r="C277">
        <f t="shared" si="4"/>
        <v>4</v>
      </c>
    </row>
    <row r="278" spans="1:3" ht="158.4" x14ac:dyDescent="0.3">
      <c r="A278" s="1" t="s">
        <v>1852</v>
      </c>
      <c r="B278">
        <v>321</v>
      </c>
      <c r="C278">
        <f t="shared" si="4"/>
        <v>10</v>
      </c>
    </row>
    <row r="279" spans="1:3" x14ac:dyDescent="0.3">
      <c r="A279" t="s">
        <v>1858</v>
      </c>
      <c r="B279">
        <v>321</v>
      </c>
      <c r="C279">
        <f t="shared" si="4"/>
        <v>17</v>
      </c>
    </row>
    <row r="280" spans="1:3" ht="86.4" x14ac:dyDescent="0.3">
      <c r="A280" s="1" t="s">
        <v>1862</v>
      </c>
      <c r="B280">
        <v>321</v>
      </c>
      <c r="C280">
        <f t="shared" si="4"/>
        <v>6</v>
      </c>
    </row>
    <row r="281" spans="1:3" x14ac:dyDescent="0.3">
      <c r="A281" t="s">
        <v>1866</v>
      </c>
      <c r="B281">
        <v>317</v>
      </c>
      <c r="C281">
        <f t="shared" si="4"/>
        <v>8</v>
      </c>
    </row>
    <row r="282" spans="1:3" x14ac:dyDescent="0.3">
      <c r="A282" t="s">
        <v>1881</v>
      </c>
      <c r="B282">
        <v>313</v>
      </c>
      <c r="C282">
        <f t="shared" si="4"/>
        <v>6</v>
      </c>
    </row>
    <row r="283" spans="1:3" ht="259.2" x14ac:dyDescent="0.3">
      <c r="A283" s="1" t="s">
        <v>1886</v>
      </c>
      <c r="B283">
        <v>312</v>
      </c>
      <c r="C283">
        <f t="shared" si="4"/>
        <v>21</v>
      </c>
    </row>
    <row r="284" spans="1:3" ht="187.2" x14ac:dyDescent="0.3">
      <c r="A284" s="1" t="s">
        <v>1890</v>
      </c>
      <c r="B284">
        <v>312</v>
      </c>
      <c r="C284">
        <f t="shared" si="4"/>
        <v>8</v>
      </c>
    </row>
    <row r="285" spans="1:3" ht="86.4" x14ac:dyDescent="0.3">
      <c r="A285" s="1" t="s">
        <v>1896</v>
      </c>
      <c r="B285">
        <v>311</v>
      </c>
      <c r="C285">
        <f t="shared" si="4"/>
        <v>5</v>
      </c>
    </row>
    <row r="286" spans="1:3" x14ac:dyDescent="0.3">
      <c r="A286" t="s">
        <v>1900</v>
      </c>
      <c r="B286">
        <v>309</v>
      </c>
      <c r="C286">
        <f t="shared" si="4"/>
        <v>2</v>
      </c>
    </row>
    <row r="287" spans="1:3" x14ac:dyDescent="0.3">
      <c r="A287" t="s">
        <v>1904</v>
      </c>
      <c r="B287">
        <v>307</v>
      </c>
      <c r="C287">
        <f t="shared" si="4"/>
        <v>4</v>
      </c>
    </row>
    <row r="288" spans="1:3" x14ac:dyDescent="0.3">
      <c r="A288" t="s">
        <v>1909</v>
      </c>
      <c r="B288">
        <v>307</v>
      </c>
      <c r="C288">
        <f t="shared" si="4"/>
        <v>8</v>
      </c>
    </row>
    <row r="289" spans="1:3" x14ac:dyDescent="0.3">
      <c r="A289" t="s">
        <v>1913</v>
      </c>
      <c r="B289">
        <v>307</v>
      </c>
      <c r="C289">
        <f t="shared" si="4"/>
        <v>11</v>
      </c>
    </row>
    <row r="290" spans="1:3" x14ac:dyDescent="0.3">
      <c r="A290" t="s">
        <v>1921</v>
      </c>
      <c r="B290">
        <v>305</v>
      </c>
      <c r="C290">
        <f t="shared" si="4"/>
        <v>8</v>
      </c>
    </row>
    <row r="291" spans="1:3" x14ac:dyDescent="0.3">
      <c r="A291" t="s">
        <v>1926</v>
      </c>
      <c r="B291">
        <v>305</v>
      </c>
      <c r="C291">
        <f t="shared" si="4"/>
        <v>3</v>
      </c>
    </row>
    <row r="292" spans="1:3" x14ac:dyDescent="0.3">
      <c r="A292" t="s">
        <v>1931</v>
      </c>
      <c r="B292">
        <v>304</v>
      </c>
      <c r="C292">
        <f t="shared" si="4"/>
        <v>14</v>
      </c>
    </row>
    <row r="293" spans="1:3" ht="302.39999999999998" x14ac:dyDescent="0.3">
      <c r="A293" s="1" t="s">
        <v>1936</v>
      </c>
      <c r="B293">
        <v>304</v>
      </c>
      <c r="C293">
        <f t="shared" si="4"/>
        <v>23</v>
      </c>
    </row>
    <row r="294" spans="1:3" x14ac:dyDescent="0.3">
      <c r="A294" t="s">
        <v>1174</v>
      </c>
      <c r="B294">
        <v>304</v>
      </c>
      <c r="C294">
        <f t="shared" si="4"/>
        <v>2</v>
      </c>
    </row>
    <row r="295" spans="1:3" x14ac:dyDescent="0.3">
      <c r="A295" t="s">
        <v>1949</v>
      </c>
      <c r="B295">
        <v>303</v>
      </c>
      <c r="C295">
        <f t="shared" si="4"/>
        <v>5</v>
      </c>
    </row>
    <row r="296" spans="1:3" x14ac:dyDescent="0.3">
      <c r="A296" t="s">
        <v>1954</v>
      </c>
      <c r="B296">
        <v>300</v>
      </c>
      <c r="C296">
        <f t="shared" si="4"/>
        <v>20</v>
      </c>
    </row>
    <row r="297" spans="1:3" x14ac:dyDescent="0.3">
      <c r="A297" t="s">
        <v>1966</v>
      </c>
      <c r="B297">
        <v>298</v>
      </c>
      <c r="C297">
        <f t="shared" si="4"/>
        <v>16</v>
      </c>
    </row>
    <row r="298" spans="1:3" x14ac:dyDescent="0.3">
      <c r="A298" t="s">
        <v>1976</v>
      </c>
      <c r="B298">
        <v>295</v>
      </c>
      <c r="C298">
        <f t="shared" si="4"/>
        <v>9</v>
      </c>
    </row>
    <row r="299" spans="1:3" x14ac:dyDescent="0.3">
      <c r="A299" t="s">
        <v>1982</v>
      </c>
      <c r="B299">
        <v>292</v>
      </c>
      <c r="C299">
        <f t="shared" si="4"/>
        <v>4</v>
      </c>
    </row>
    <row r="300" spans="1:3" x14ac:dyDescent="0.3">
      <c r="A300" t="s">
        <v>1986</v>
      </c>
      <c r="B300">
        <v>291</v>
      </c>
      <c r="C300">
        <f t="shared" si="4"/>
        <v>14</v>
      </c>
    </row>
    <row r="301" spans="1:3" x14ac:dyDescent="0.3">
      <c r="A301" t="s">
        <v>1990</v>
      </c>
      <c r="B301">
        <v>291</v>
      </c>
      <c r="C301">
        <f t="shared" si="4"/>
        <v>3</v>
      </c>
    </row>
    <row r="302" spans="1:3" ht="72" x14ac:dyDescent="0.3">
      <c r="A302" s="1" t="s">
        <v>1994</v>
      </c>
      <c r="B302">
        <v>290</v>
      </c>
      <c r="C302">
        <f t="shared" si="4"/>
        <v>7</v>
      </c>
    </row>
    <row r="303" spans="1:3" x14ac:dyDescent="0.3">
      <c r="A303" t="s">
        <v>1999</v>
      </c>
      <c r="B303">
        <v>290</v>
      </c>
      <c r="C303">
        <f t="shared" si="4"/>
        <v>4</v>
      </c>
    </row>
    <row r="304" spans="1:3" x14ac:dyDescent="0.3">
      <c r="A304" t="s">
        <v>2005</v>
      </c>
      <c r="B304">
        <v>289</v>
      </c>
      <c r="C304">
        <f t="shared" si="4"/>
        <v>11</v>
      </c>
    </row>
    <row r="305" spans="1:3" x14ac:dyDescent="0.3">
      <c r="A305" t="s">
        <v>2011</v>
      </c>
      <c r="B305">
        <v>288</v>
      </c>
      <c r="C305">
        <f t="shared" si="4"/>
        <v>6</v>
      </c>
    </row>
    <row r="306" spans="1:3" x14ac:dyDescent="0.3">
      <c r="A306" t="s">
        <v>2020</v>
      </c>
      <c r="B306">
        <v>285</v>
      </c>
      <c r="C306">
        <f t="shared" si="4"/>
        <v>17</v>
      </c>
    </row>
    <row r="307" spans="1:3" ht="230.4" x14ac:dyDescent="0.3">
      <c r="A307" s="1" t="s">
        <v>2026</v>
      </c>
      <c r="B307">
        <v>285</v>
      </c>
      <c r="C307">
        <f t="shared" si="4"/>
        <v>13</v>
      </c>
    </row>
    <row r="308" spans="1:3" x14ac:dyDescent="0.3">
      <c r="A308" t="s">
        <v>2030</v>
      </c>
      <c r="B308">
        <v>285</v>
      </c>
      <c r="C308">
        <f t="shared" si="4"/>
        <v>13</v>
      </c>
    </row>
    <row r="309" spans="1:3" x14ac:dyDescent="0.3">
      <c r="A309" t="s">
        <v>2038</v>
      </c>
      <c r="B309">
        <v>285</v>
      </c>
      <c r="C309">
        <f t="shared" si="4"/>
        <v>2</v>
      </c>
    </row>
    <row r="310" spans="1:3" ht="360" x14ac:dyDescent="0.3">
      <c r="A310" s="1" t="s">
        <v>2050</v>
      </c>
      <c r="B310">
        <v>283</v>
      </c>
      <c r="C310">
        <f t="shared" si="4"/>
        <v>18</v>
      </c>
    </row>
    <row r="311" spans="1:3" x14ac:dyDescent="0.3">
      <c r="A311" t="s">
        <v>2054</v>
      </c>
      <c r="B311">
        <v>283</v>
      </c>
      <c r="C311">
        <f t="shared" si="4"/>
        <v>9</v>
      </c>
    </row>
    <row r="312" spans="1:3" x14ac:dyDescent="0.3">
      <c r="A312" t="s">
        <v>2061</v>
      </c>
      <c r="B312">
        <v>283</v>
      </c>
      <c r="C312">
        <f t="shared" si="4"/>
        <v>4</v>
      </c>
    </row>
    <row r="313" spans="1:3" x14ac:dyDescent="0.3">
      <c r="A313" t="s">
        <v>2065</v>
      </c>
      <c r="B313">
        <v>282</v>
      </c>
      <c r="C313">
        <f t="shared" si="4"/>
        <v>2</v>
      </c>
    </row>
    <row r="314" spans="1:3" x14ac:dyDescent="0.3">
      <c r="A314" t="s">
        <v>2070</v>
      </c>
      <c r="B314">
        <v>282</v>
      </c>
      <c r="C314">
        <f t="shared" si="4"/>
        <v>18</v>
      </c>
    </row>
    <row r="315" spans="1:3" x14ac:dyDescent="0.3">
      <c r="A315" t="s">
        <v>2075</v>
      </c>
      <c r="B315">
        <v>281</v>
      </c>
      <c r="C315">
        <f t="shared" si="4"/>
        <v>2</v>
      </c>
    </row>
    <row r="316" spans="1:3" x14ac:dyDescent="0.3">
      <c r="A316" t="s">
        <v>2080</v>
      </c>
      <c r="B316">
        <v>280</v>
      </c>
      <c r="C316">
        <f t="shared" si="4"/>
        <v>16</v>
      </c>
    </row>
    <row r="317" spans="1:3" x14ac:dyDescent="0.3">
      <c r="A317" t="s">
        <v>1802</v>
      </c>
      <c r="B317">
        <v>280</v>
      </c>
      <c r="C317">
        <f t="shared" si="4"/>
        <v>2</v>
      </c>
    </row>
    <row r="318" spans="1:3" x14ac:dyDescent="0.3">
      <c r="A318" t="s">
        <v>2090</v>
      </c>
      <c r="B318">
        <v>279</v>
      </c>
      <c r="C318">
        <f t="shared" si="4"/>
        <v>19</v>
      </c>
    </row>
    <row r="319" spans="1:3" x14ac:dyDescent="0.3">
      <c r="A319" t="s">
        <v>2097</v>
      </c>
      <c r="B319">
        <v>278</v>
      </c>
      <c r="C319">
        <f t="shared" si="4"/>
        <v>3</v>
      </c>
    </row>
    <row r="320" spans="1:3" x14ac:dyDescent="0.3">
      <c r="A320" t="s">
        <v>2102</v>
      </c>
      <c r="B320">
        <v>278</v>
      </c>
      <c r="C320">
        <f t="shared" si="4"/>
        <v>20</v>
      </c>
    </row>
    <row r="321" spans="1:3" x14ac:dyDescent="0.3">
      <c r="A321" t="s">
        <v>2107</v>
      </c>
      <c r="B321">
        <v>277</v>
      </c>
      <c r="C321">
        <f t="shared" si="4"/>
        <v>6</v>
      </c>
    </row>
    <row r="322" spans="1:3" x14ac:dyDescent="0.3">
      <c r="A322" t="s">
        <v>2113</v>
      </c>
      <c r="B322">
        <v>277</v>
      </c>
      <c r="C322">
        <f t="shared" si="4"/>
        <v>17</v>
      </c>
    </row>
    <row r="323" spans="1:3" x14ac:dyDescent="0.3">
      <c r="A323" t="s">
        <v>2118</v>
      </c>
      <c r="B323">
        <v>277</v>
      </c>
      <c r="C323">
        <f t="shared" ref="C323:C386" si="5">IF(A323="",0,LEN(TRIM(A323))-LEN(SUBSTITUTE(A323," ",""))+1)</f>
        <v>13</v>
      </c>
    </row>
    <row r="324" spans="1:3" ht="172.8" x14ac:dyDescent="0.3">
      <c r="A324" s="1" t="s">
        <v>2129</v>
      </c>
      <c r="B324">
        <v>276</v>
      </c>
      <c r="C324">
        <f t="shared" si="5"/>
        <v>9</v>
      </c>
    </row>
    <row r="325" spans="1:3" x14ac:dyDescent="0.3">
      <c r="A325" t="s">
        <v>2132</v>
      </c>
      <c r="B325">
        <v>276</v>
      </c>
      <c r="C325">
        <f t="shared" si="5"/>
        <v>6</v>
      </c>
    </row>
    <row r="326" spans="1:3" ht="86.4" x14ac:dyDescent="0.3">
      <c r="A326" s="1" t="s">
        <v>2141</v>
      </c>
      <c r="B326">
        <v>275</v>
      </c>
      <c r="C326">
        <f t="shared" si="5"/>
        <v>6</v>
      </c>
    </row>
    <row r="327" spans="1:3" x14ac:dyDescent="0.3">
      <c r="A327" t="s">
        <v>648</v>
      </c>
      <c r="B327">
        <v>275</v>
      </c>
      <c r="C327">
        <f t="shared" si="5"/>
        <v>2</v>
      </c>
    </row>
    <row r="328" spans="1:3" x14ac:dyDescent="0.3">
      <c r="A328" t="s">
        <v>2152</v>
      </c>
      <c r="B328">
        <v>274</v>
      </c>
      <c r="C328">
        <f t="shared" si="5"/>
        <v>14</v>
      </c>
    </row>
    <row r="329" spans="1:3" x14ac:dyDescent="0.3">
      <c r="A329" t="s">
        <v>2163</v>
      </c>
      <c r="B329">
        <v>273</v>
      </c>
      <c r="C329">
        <f t="shared" si="5"/>
        <v>2</v>
      </c>
    </row>
    <row r="330" spans="1:3" x14ac:dyDescent="0.3">
      <c r="A330" t="s">
        <v>2177</v>
      </c>
      <c r="B330">
        <v>271</v>
      </c>
      <c r="C330">
        <f t="shared" si="5"/>
        <v>15</v>
      </c>
    </row>
    <row r="331" spans="1:3" ht="158.4" x14ac:dyDescent="0.3">
      <c r="A331" s="1" t="s">
        <v>2182</v>
      </c>
      <c r="B331">
        <v>271</v>
      </c>
      <c r="C331">
        <f t="shared" si="5"/>
        <v>12</v>
      </c>
    </row>
    <row r="332" spans="1:3" x14ac:dyDescent="0.3">
      <c r="A332" t="s">
        <v>2186</v>
      </c>
      <c r="B332">
        <v>270</v>
      </c>
      <c r="C332">
        <f t="shared" si="5"/>
        <v>3</v>
      </c>
    </row>
    <row r="333" spans="1:3" x14ac:dyDescent="0.3">
      <c r="A333" t="s">
        <v>2191</v>
      </c>
      <c r="B333">
        <v>270</v>
      </c>
      <c r="C333">
        <f t="shared" si="5"/>
        <v>21</v>
      </c>
    </row>
    <row r="334" spans="1:3" x14ac:dyDescent="0.3">
      <c r="A334" t="s">
        <v>2195</v>
      </c>
      <c r="B334">
        <v>269</v>
      </c>
      <c r="C334">
        <f t="shared" si="5"/>
        <v>9</v>
      </c>
    </row>
    <row r="335" spans="1:3" x14ac:dyDescent="0.3">
      <c r="A335" t="s">
        <v>2201</v>
      </c>
      <c r="B335">
        <v>268</v>
      </c>
      <c r="C335">
        <f t="shared" si="5"/>
        <v>14</v>
      </c>
    </row>
    <row r="336" spans="1:3" x14ac:dyDescent="0.3">
      <c r="A336" t="s">
        <v>2209</v>
      </c>
      <c r="B336">
        <v>267</v>
      </c>
      <c r="C336">
        <f t="shared" si="5"/>
        <v>8</v>
      </c>
    </row>
    <row r="337" spans="1:3" x14ac:dyDescent="0.3">
      <c r="A337" t="s">
        <v>2216</v>
      </c>
      <c r="B337">
        <v>267</v>
      </c>
      <c r="C337">
        <f t="shared" si="5"/>
        <v>12</v>
      </c>
    </row>
    <row r="338" spans="1:3" x14ac:dyDescent="0.3">
      <c r="A338" t="s">
        <v>2221</v>
      </c>
      <c r="B338">
        <v>266</v>
      </c>
      <c r="C338">
        <f t="shared" si="5"/>
        <v>17</v>
      </c>
    </row>
    <row r="339" spans="1:3" x14ac:dyDescent="0.3">
      <c r="A339" t="s">
        <v>2231</v>
      </c>
      <c r="B339">
        <v>265</v>
      </c>
      <c r="C339">
        <f t="shared" si="5"/>
        <v>5</v>
      </c>
    </row>
    <row r="340" spans="1:3" x14ac:dyDescent="0.3">
      <c r="A340" t="s">
        <v>2238</v>
      </c>
      <c r="B340">
        <v>263</v>
      </c>
      <c r="C340">
        <f t="shared" si="5"/>
        <v>3</v>
      </c>
    </row>
    <row r="341" spans="1:3" x14ac:dyDescent="0.3">
      <c r="A341" t="s">
        <v>2243</v>
      </c>
      <c r="B341">
        <v>262</v>
      </c>
      <c r="C341">
        <f t="shared" si="5"/>
        <v>8</v>
      </c>
    </row>
    <row r="342" spans="1:3" x14ac:dyDescent="0.3">
      <c r="A342" t="s">
        <v>2247</v>
      </c>
      <c r="B342">
        <v>262</v>
      </c>
      <c r="C342">
        <f t="shared" si="5"/>
        <v>4</v>
      </c>
    </row>
    <row r="343" spans="1:3" x14ac:dyDescent="0.3">
      <c r="A343" t="s">
        <v>2252</v>
      </c>
      <c r="B343">
        <v>262</v>
      </c>
      <c r="C343">
        <f t="shared" si="5"/>
        <v>11</v>
      </c>
    </row>
    <row r="344" spans="1:3" x14ac:dyDescent="0.3">
      <c r="A344" t="s">
        <v>2261</v>
      </c>
      <c r="B344">
        <v>262</v>
      </c>
      <c r="C344">
        <f t="shared" si="5"/>
        <v>6</v>
      </c>
    </row>
    <row r="345" spans="1:3" x14ac:dyDescent="0.3">
      <c r="A345" t="s">
        <v>2267</v>
      </c>
      <c r="B345">
        <v>261</v>
      </c>
      <c r="C345">
        <f t="shared" si="5"/>
        <v>8</v>
      </c>
    </row>
    <row r="346" spans="1:3" x14ac:dyDescent="0.3">
      <c r="A346" t="s">
        <v>2271</v>
      </c>
      <c r="B346">
        <v>261</v>
      </c>
      <c r="C346">
        <f t="shared" si="5"/>
        <v>2</v>
      </c>
    </row>
    <row r="347" spans="1:3" x14ac:dyDescent="0.3">
      <c r="A347" t="s">
        <v>2275</v>
      </c>
      <c r="B347">
        <v>261</v>
      </c>
      <c r="C347">
        <f t="shared" si="5"/>
        <v>21</v>
      </c>
    </row>
    <row r="348" spans="1:3" x14ac:dyDescent="0.3">
      <c r="A348" t="s">
        <v>2289</v>
      </c>
      <c r="B348">
        <v>257</v>
      </c>
      <c r="C348">
        <f t="shared" si="5"/>
        <v>3</v>
      </c>
    </row>
    <row r="349" spans="1:3" x14ac:dyDescent="0.3">
      <c r="A349" t="s">
        <v>2296</v>
      </c>
      <c r="B349">
        <v>256</v>
      </c>
      <c r="C349">
        <f t="shared" si="5"/>
        <v>13</v>
      </c>
    </row>
    <row r="350" spans="1:3" x14ac:dyDescent="0.3">
      <c r="A350" t="s">
        <v>2301</v>
      </c>
      <c r="B350">
        <v>256</v>
      </c>
      <c r="C350">
        <f t="shared" si="5"/>
        <v>2</v>
      </c>
    </row>
    <row r="351" spans="1:3" x14ac:dyDescent="0.3">
      <c r="A351" t="s">
        <v>2309</v>
      </c>
      <c r="B351">
        <v>255</v>
      </c>
      <c r="C351">
        <f t="shared" si="5"/>
        <v>11</v>
      </c>
    </row>
    <row r="352" spans="1:3" x14ac:dyDescent="0.3">
      <c r="A352" t="s">
        <v>2314</v>
      </c>
      <c r="B352">
        <v>255</v>
      </c>
      <c r="C352">
        <f t="shared" si="5"/>
        <v>11</v>
      </c>
    </row>
    <row r="353" spans="1:3" x14ac:dyDescent="0.3">
      <c r="A353" t="s">
        <v>2320</v>
      </c>
      <c r="B353">
        <v>254</v>
      </c>
      <c r="C353">
        <f t="shared" si="5"/>
        <v>5</v>
      </c>
    </row>
    <row r="354" spans="1:3" x14ac:dyDescent="0.3">
      <c r="A354" t="s">
        <v>2326</v>
      </c>
      <c r="B354">
        <v>252</v>
      </c>
      <c r="C354">
        <f t="shared" si="5"/>
        <v>2</v>
      </c>
    </row>
    <row r="355" spans="1:3" x14ac:dyDescent="0.3">
      <c r="A355" t="s">
        <v>2332</v>
      </c>
      <c r="B355">
        <v>252</v>
      </c>
      <c r="C355">
        <f t="shared" si="5"/>
        <v>1</v>
      </c>
    </row>
    <row r="356" spans="1:3" x14ac:dyDescent="0.3">
      <c r="A356" t="s">
        <v>2338</v>
      </c>
      <c r="B356">
        <v>251</v>
      </c>
      <c r="C356">
        <f t="shared" si="5"/>
        <v>26</v>
      </c>
    </row>
    <row r="357" spans="1:3" x14ac:dyDescent="0.3">
      <c r="A357" t="s">
        <v>2342</v>
      </c>
      <c r="B357">
        <v>251</v>
      </c>
      <c r="C357">
        <f t="shared" si="5"/>
        <v>2</v>
      </c>
    </row>
    <row r="358" spans="1:3" x14ac:dyDescent="0.3">
      <c r="A358" t="s">
        <v>2347</v>
      </c>
      <c r="B358">
        <v>251</v>
      </c>
      <c r="C358">
        <f t="shared" si="5"/>
        <v>15</v>
      </c>
    </row>
    <row r="359" spans="1:3" x14ac:dyDescent="0.3">
      <c r="A359" t="s">
        <v>2352</v>
      </c>
      <c r="B359">
        <v>250</v>
      </c>
      <c r="C359">
        <f t="shared" si="5"/>
        <v>7</v>
      </c>
    </row>
    <row r="360" spans="1:3" ht="201.6" x14ac:dyDescent="0.3">
      <c r="A360" s="1" t="s">
        <v>2358</v>
      </c>
      <c r="B360">
        <v>250</v>
      </c>
      <c r="C360">
        <f t="shared" si="5"/>
        <v>12</v>
      </c>
    </row>
    <row r="361" spans="1:3" x14ac:dyDescent="0.3">
      <c r="A361" t="s">
        <v>2364</v>
      </c>
      <c r="B361">
        <v>249</v>
      </c>
      <c r="C361">
        <f t="shared" si="5"/>
        <v>9</v>
      </c>
    </row>
    <row r="362" spans="1:3" x14ac:dyDescent="0.3">
      <c r="A362" t="s">
        <v>2372</v>
      </c>
      <c r="B362">
        <v>248</v>
      </c>
      <c r="C362">
        <f t="shared" si="5"/>
        <v>17</v>
      </c>
    </row>
    <row r="363" spans="1:3" x14ac:dyDescent="0.3">
      <c r="A363" t="s">
        <v>2378</v>
      </c>
      <c r="B363">
        <v>248</v>
      </c>
      <c r="C363">
        <f t="shared" si="5"/>
        <v>5</v>
      </c>
    </row>
    <row r="364" spans="1:3" ht="230.4" x14ac:dyDescent="0.3">
      <c r="A364" s="1" t="s">
        <v>2383</v>
      </c>
      <c r="B364">
        <v>248</v>
      </c>
      <c r="C364">
        <f t="shared" si="5"/>
        <v>14</v>
      </c>
    </row>
    <row r="365" spans="1:3" x14ac:dyDescent="0.3">
      <c r="A365" t="s">
        <v>2387</v>
      </c>
      <c r="B365">
        <v>248</v>
      </c>
      <c r="C365">
        <f t="shared" si="5"/>
        <v>22</v>
      </c>
    </row>
    <row r="366" spans="1:3" ht="273.60000000000002" x14ac:dyDescent="0.3">
      <c r="A366" s="1" t="s">
        <v>2398</v>
      </c>
      <c r="B366">
        <v>244</v>
      </c>
      <c r="C366">
        <f t="shared" si="5"/>
        <v>11</v>
      </c>
    </row>
    <row r="367" spans="1:3" x14ac:dyDescent="0.3">
      <c r="A367" t="s">
        <v>2404</v>
      </c>
      <c r="B367">
        <v>243</v>
      </c>
      <c r="C367">
        <f t="shared" si="5"/>
        <v>3</v>
      </c>
    </row>
    <row r="368" spans="1:3" x14ac:dyDescent="0.3">
      <c r="A368" t="s">
        <v>2419</v>
      </c>
      <c r="B368">
        <v>242</v>
      </c>
      <c r="C368">
        <f t="shared" si="5"/>
        <v>8</v>
      </c>
    </row>
    <row r="369" spans="1:3" x14ac:dyDescent="0.3">
      <c r="A369" t="s">
        <v>2425</v>
      </c>
      <c r="B369">
        <v>242</v>
      </c>
      <c r="C369">
        <f t="shared" si="5"/>
        <v>2</v>
      </c>
    </row>
    <row r="370" spans="1:3" x14ac:dyDescent="0.3">
      <c r="A370" t="s">
        <v>648</v>
      </c>
      <c r="B370">
        <v>241</v>
      </c>
      <c r="C370">
        <f t="shared" si="5"/>
        <v>2</v>
      </c>
    </row>
    <row r="371" spans="1:3" x14ac:dyDescent="0.3">
      <c r="A371" t="s">
        <v>2433</v>
      </c>
      <c r="B371">
        <v>240</v>
      </c>
      <c r="C371">
        <f t="shared" si="5"/>
        <v>2</v>
      </c>
    </row>
    <row r="372" spans="1:3" x14ac:dyDescent="0.3">
      <c r="A372" t="s">
        <v>2437</v>
      </c>
      <c r="B372">
        <v>239</v>
      </c>
      <c r="C372">
        <f t="shared" si="5"/>
        <v>1</v>
      </c>
    </row>
    <row r="373" spans="1:3" ht="230.4" x14ac:dyDescent="0.3">
      <c r="A373" s="1" t="s">
        <v>2443</v>
      </c>
      <c r="B373">
        <v>238</v>
      </c>
      <c r="C373">
        <f t="shared" si="5"/>
        <v>15</v>
      </c>
    </row>
    <row r="374" spans="1:3" x14ac:dyDescent="0.3">
      <c r="A374" t="s">
        <v>2452</v>
      </c>
      <c r="B374">
        <v>237</v>
      </c>
      <c r="C374">
        <f t="shared" si="5"/>
        <v>4</v>
      </c>
    </row>
    <row r="375" spans="1:3" x14ac:dyDescent="0.3">
      <c r="A375" t="s">
        <v>2461</v>
      </c>
      <c r="B375">
        <v>236</v>
      </c>
      <c r="C375">
        <f t="shared" si="5"/>
        <v>6</v>
      </c>
    </row>
    <row r="376" spans="1:3" x14ac:dyDescent="0.3">
      <c r="A376" t="s">
        <v>2467</v>
      </c>
      <c r="B376">
        <v>235</v>
      </c>
      <c r="C376">
        <f t="shared" si="5"/>
        <v>3</v>
      </c>
    </row>
    <row r="377" spans="1:3" ht="201.6" x14ac:dyDescent="0.3">
      <c r="A377" s="1" t="s">
        <v>2476</v>
      </c>
      <c r="B377">
        <v>235</v>
      </c>
      <c r="C377">
        <f t="shared" si="5"/>
        <v>11</v>
      </c>
    </row>
    <row r="378" spans="1:3" x14ac:dyDescent="0.3">
      <c r="A378" t="s">
        <v>2480</v>
      </c>
      <c r="B378">
        <v>234</v>
      </c>
      <c r="C378">
        <f t="shared" si="5"/>
        <v>4</v>
      </c>
    </row>
    <row r="379" spans="1:3" x14ac:dyDescent="0.3">
      <c r="A379" t="s">
        <v>2486</v>
      </c>
      <c r="B379">
        <v>234</v>
      </c>
      <c r="C379">
        <f t="shared" si="5"/>
        <v>9</v>
      </c>
    </row>
    <row r="380" spans="1:3" ht="244.8" x14ac:dyDescent="0.3">
      <c r="A380" s="1" t="s">
        <v>2491</v>
      </c>
      <c r="B380">
        <v>233</v>
      </c>
      <c r="C380">
        <f t="shared" si="5"/>
        <v>17</v>
      </c>
    </row>
    <row r="381" spans="1:3" ht="144" x14ac:dyDescent="0.3">
      <c r="A381" s="1" t="s">
        <v>2497</v>
      </c>
      <c r="B381">
        <v>233</v>
      </c>
      <c r="C381">
        <f t="shared" si="5"/>
        <v>8</v>
      </c>
    </row>
    <row r="382" spans="1:3" x14ac:dyDescent="0.3">
      <c r="A382" t="s">
        <v>2506</v>
      </c>
      <c r="B382">
        <v>232</v>
      </c>
      <c r="C382">
        <f t="shared" si="5"/>
        <v>15</v>
      </c>
    </row>
    <row r="383" spans="1:3" ht="172.8" x14ac:dyDescent="0.3">
      <c r="A383" s="1" t="s">
        <v>2516</v>
      </c>
      <c r="B383">
        <v>232</v>
      </c>
      <c r="C383">
        <f t="shared" si="5"/>
        <v>15</v>
      </c>
    </row>
    <row r="384" spans="1:3" ht="72" x14ac:dyDescent="0.3">
      <c r="A384" s="1" t="s">
        <v>2529</v>
      </c>
      <c r="B384">
        <v>231</v>
      </c>
      <c r="C384">
        <f t="shared" si="5"/>
        <v>2</v>
      </c>
    </row>
    <row r="385" spans="1:3" x14ac:dyDescent="0.3">
      <c r="A385" t="s">
        <v>2542</v>
      </c>
      <c r="B385">
        <v>229</v>
      </c>
      <c r="C385">
        <f t="shared" si="5"/>
        <v>4</v>
      </c>
    </row>
    <row r="386" spans="1:3" x14ac:dyDescent="0.3">
      <c r="A386" t="s">
        <v>2548</v>
      </c>
      <c r="B386">
        <v>229</v>
      </c>
      <c r="C386">
        <f t="shared" si="5"/>
        <v>4</v>
      </c>
    </row>
    <row r="387" spans="1:3" ht="230.4" x14ac:dyDescent="0.3">
      <c r="A387" s="1" t="s">
        <v>2553</v>
      </c>
      <c r="B387">
        <v>229</v>
      </c>
      <c r="C387">
        <f t="shared" ref="C387:C436" si="6">IF(A387="",0,LEN(TRIM(A387))-LEN(SUBSTITUTE(A387," ",""))+1)</f>
        <v>16</v>
      </c>
    </row>
    <row r="388" spans="1:3" x14ac:dyDescent="0.3">
      <c r="A388" t="s">
        <v>2565</v>
      </c>
      <c r="B388">
        <v>228</v>
      </c>
      <c r="C388">
        <f t="shared" si="6"/>
        <v>19</v>
      </c>
    </row>
    <row r="389" spans="1:3" x14ac:dyDescent="0.3">
      <c r="A389" t="s">
        <v>2570</v>
      </c>
      <c r="B389">
        <v>228</v>
      </c>
      <c r="C389">
        <f t="shared" si="6"/>
        <v>3</v>
      </c>
    </row>
    <row r="390" spans="1:3" x14ac:dyDescent="0.3">
      <c r="A390" t="s">
        <v>2574</v>
      </c>
      <c r="B390">
        <v>227</v>
      </c>
      <c r="C390">
        <f t="shared" si="6"/>
        <v>1</v>
      </c>
    </row>
    <row r="391" spans="1:3" ht="86.4" x14ac:dyDescent="0.3">
      <c r="A391" s="1" t="s">
        <v>2580</v>
      </c>
      <c r="B391">
        <v>227</v>
      </c>
      <c r="C391">
        <f t="shared" si="6"/>
        <v>3</v>
      </c>
    </row>
    <row r="392" spans="1:3" x14ac:dyDescent="0.3">
      <c r="A392" t="s">
        <v>2586</v>
      </c>
      <c r="B392">
        <v>226</v>
      </c>
      <c r="C392">
        <f t="shared" si="6"/>
        <v>11</v>
      </c>
    </row>
    <row r="393" spans="1:3" x14ac:dyDescent="0.3">
      <c r="A393" t="s">
        <v>2591</v>
      </c>
      <c r="B393">
        <v>226</v>
      </c>
      <c r="C393">
        <f t="shared" si="6"/>
        <v>4</v>
      </c>
    </row>
    <row r="394" spans="1:3" x14ac:dyDescent="0.3">
      <c r="A394" t="s">
        <v>2604</v>
      </c>
      <c r="B394">
        <v>225</v>
      </c>
      <c r="C394">
        <f t="shared" si="6"/>
        <v>11</v>
      </c>
    </row>
    <row r="395" spans="1:3" x14ac:dyDescent="0.3">
      <c r="A395" t="s">
        <v>2612</v>
      </c>
      <c r="B395">
        <v>223</v>
      </c>
      <c r="C395">
        <f t="shared" si="6"/>
        <v>10</v>
      </c>
    </row>
    <row r="396" spans="1:3" x14ac:dyDescent="0.3">
      <c r="A396" t="s">
        <v>2617</v>
      </c>
      <c r="B396">
        <v>223</v>
      </c>
      <c r="C396">
        <f t="shared" si="6"/>
        <v>9</v>
      </c>
    </row>
    <row r="397" spans="1:3" x14ac:dyDescent="0.3">
      <c r="A397" t="s">
        <v>2622</v>
      </c>
      <c r="B397">
        <v>223</v>
      </c>
      <c r="C397">
        <f t="shared" si="6"/>
        <v>7</v>
      </c>
    </row>
    <row r="398" spans="1:3" x14ac:dyDescent="0.3">
      <c r="A398" t="s">
        <v>2626</v>
      </c>
      <c r="B398">
        <v>222</v>
      </c>
      <c r="C398">
        <f t="shared" si="6"/>
        <v>7</v>
      </c>
    </row>
    <row r="399" spans="1:3" x14ac:dyDescent="0.3">
      <c r="A399" t="s">
        <v>2631</v>
      </c>
      <c r="B399">
        <v>222</v>
      </c>
      <c r="C399">
        <f t="shared" si="6"/>
        <v>25</v>
      </c>
    </row>
    <row r="400" spans="1:3" x14ac:dyDescent="0.3">
      <c r="A400" t="s">
        <v>2636</v>
      </c>
      <c r="B400">
        <v>222</v>
      </c>
      <c r="C400">
        <f t="shared" si="6"/>
        <v>3</v>
      </c>
    </row>
    <row r="401" spans="1:3" x14ac:dyDescent="0.3">
      <c r="A401" t="s">
        <v>2647</v>
      </c>
      <c r="B401">
        <v>220</v>
      </c>
      <c r="C401">
        <f t="shared" si="6"/>
        <v>24</v>
      </c>
    </row>
    <row r="402" spans="1:3" x14ac:dyDescent="0.3">
      <c r="A402" t="s">
        <v>2653</v>
      </c>
      <c r="B402">
        <v>220</v>
      </c>
      <c r="C402">
        <f t="shared" si="6"/>
        <v>9</v>
      </c>
    </row>
    <row r="403" spans="1:3" x14ac:dyDescent="0.3">
      <c r="A403" t="s">
        <v>2661</v>
      </c>
      <c r="B403">
        <v>220</v>
      </c>
      <c r="C403">
        <f t="shared" si="6"/>
        <v>15</v>
      </c>
    </row>
    <row r="404" spans="1:3" x14ac:dyDescent="0.3">
      <c r="A404" t="s">
        <v>2668</v>
      </c>
      <c r="B404">
        <v>219</v>
      </c>
      <c r="C404">
        <f t="shared" si="6"/>
        <v>15</v>
      </c>
    </row>
    <row r="405" spans="1:3" x14ac:dyDescent="0.3">
      <c r="A405" t="s">
        <v>286</v>
      </c>
      <c r="B405">
        <v>219</v>
      </c>
      <c r="C405">
        <f t="shared" si="6"/>
        <v>3</v>
      </c>
    </row>
    <row r="406" spans="1:3" x14ac:dyDescent="0.3">
      <c r="A406" t="s">
        <v>2678</v>
      </c>
      <c r="B406">
        <v>219</v>
      </c>
      <c r="C406">
        <f t="shared" si="6"/>
        <v>4</v>
      </c>
    </row>
    <row r="407" spans="1:3" ht="244.8" x14ac:dyDescent="0.3">
      <c r="A407" s="1" t="s">
        <v>2686</v>
      </c>
      <c r="B407">
        <v>218</v>
      </c>
      <c r="C407">
        <f t="shared" si="6"/>
        <v>16</v>
      </c>
    </row>
    <row r="408" spans="1:3" x14ac:dyDescent="0.3">
      <c r="A408" t="s">
        <v>2691</v>
      </c>
      <c r="B408">
        <v>217</v>
      </c>
      <c r="C408">
        <f t="shared" si="6"/>
        <v>4</v>
      </c>
    </row>
    <row r="409" spans="1:3" x14ac:dyDescent="0.3">
      <c r="A409" t="s">
        <v>2697</v>
      </c>
      <c r="B409">
        <v>217</v>
      </c>
      <c r="C409">
        <f t="shared" si="6"/>
        <v>9</v>
      </c>
    </row>
    <row r="410" spans="1:3" x14ac:dyDescent="0.3">
      <c r="A410" t="s">
        <v>2703</v>
      </c>
      <c r="B410">
        <v>217</v>
      </c>
      <c r="C410">
        <f t="shared" si="6"/>
        <v>6</v>
      </c>
    </row>
    <row r="411" spans="1:3" x14ac:dyDescent="0.3">
      <c r="A411" t="s">
        <v>2707</v>
      </c>
      <c r="B411">
        <v>217</v>
      </c>
      <c r="C411">
        <f t="shared" si="6"/>
        <v>12</v>
      </c>
    </row>
    <row r="412" spans="1:3" x14ac:dyDescent="0.3">
      <c r="A412" t="s">
        <v>2712</v>
      </c>
      <c r="B412">
        <v>217</v>
      </c>
      <c r="C412">
        <f t="shared" si="6"/>
        <v>3</v>
      </c>
    </row>
    <row r="413" spans="1:3" x14ac:dyDescent="0.3">
      <c r="A413" t="s">
        <v>2718</v>
      </c>
      <c r="B413">
        <v>217</v>
      </c>
      <c r="C413">
        <f t="shared" si="6"/>
        <v>2</v>
      </c>
    </row>
    <row r="414" spans="1:3" x14ac:dyDescent="0.3">
      <c r="A414" t="s">
        <v>2724</v>
      </c>
      <c r="B414">
        <v>217</v>
      </c>
      <c r="C414">
        <f t="shared" si="6"/>
        <v>10</v>
      </c>
    </row>
    <row r="415" spans="1:3" x14ac:dyDescent="0.3">
      <c r="A415" t="s">
        <v>2728</v>
      </c>
      <c r="B415">
        <v>217</v>
      </c>
      <c r="C415">
        <f t="shared" si="6"/>
        <v>4</v>
      </c>
    </row>
    <row r="416" spans="1:3" x14ac:dyDescent="0.3">
      <c r="A416" t="s">
        <v>2733</v>
      </c>
      <c r="B416">
        <v>216</v>
      </c>
      <c r="C416">
        <f t="shared" si="6"/>
        <v>13</v>
      </c>
    </row>
    <row r="417" spans="1:3" x14ac:dyDescent="0.3">
      <c r="A417" t="s">
        <v>2740</v>
      </c>
      <c r="B417">
        <v>216</v>
      </c>
      <c r="C417">
        <f t="shared" si="6"/>
        <v>24</v>
      </c>
    </row>
    <row r="418" spans="1:3" x14ac:dyDescent="0.3">
      <c r="A418" t="s">
        <v>2746</v>
      </c>
      <c r="B418">
        <v>216</v>
      </c>
      <c r="C418">
        <f t="shared" si="6"/>
        <v>4</v>
      </c>
    </row>
    <row r="419" spans="1:3" x14ac:dyDescent="0.3">
      <c r="A419" t="s">
        <v>2751</v>
      </c>
      <c r="B419">
        <v>216</v>
      </c>
      <c r="C419">
        <f t="shared" si="6"/>
        <v>2</v>
      </c>
    </row>
    <row r="420" spans="1:3" x14ac:dyDescent="0.3">
      <c r="A420" t="s">
        <v>2756</v>
      </c>
      <c r="B420">
        <v>215</v>
      </c>
      <c r="C420">
        <f t="shared" si="6"/>
        <v>3</v>
      </c>
    </row>
    <row r="421" spans="1:3" x14ac:dyDescent="0.3">
      <c r="A421" t="s">
        <v>2774</v>
      </c>
      <c r="B421">
        <v>213</v>
      </c>
      <c r="C421">
        <f t="shared" si="6"/>
        <v>12</v>
      </c>
    </row>
    <row r="422" spans="1:3" x14ac:dyDescent="0.3">
      <c r="A422" t="s">
        <v>2787</v>
      </c>
      <c r="B422">
        <v>212</v>
      </c>
      <c r="C422">
        <f t="shared" si="6"/>
        <v>3</v>
      </c>
    </row>
    <row r="423" spans="1:3" x14ac:dyDescent="0.3">
      <c r="A423" t="s">
        <v>2796</v>
      </c>
      <c r="B423">
        <v>211</v>
      </c>
      <c r="C423">
        <f t="shared" si="6"/>
        <v>5</v>
      </c>
    </row>
    <row r="424" spans="1:3" ht="72" x14ac:dyDescent="0.3">
      <c r="A424" s="1" t="s">
        <v>2803</v>
      </c>
      <c r="B424">
        <v>210</v>
      </c>
      <c r="C424">
        <f t="shared" si="6"/>
        <v>2</v>
      </c>
    </row>
    <row r="425" spans="1:3" x14ac:dyDescent="0.3">
      <c r="A425" t="s">
        <v>2809</v>
      </c>
      <c r="B425">
        <v>209</v>
      </c>
      <c r="C425">
        <f t="shared" si="6"/>
        <v>7</v>
      </c>
    </row>
    <row r="426" spans="1:3" x14ac:dyDescent="0.3">
      <c r="A426" t="s">
        <v>2814</v>
      </c>
      <c r="B426">
        <v>209</v>
      </c>
      <c r="C426">
        <f t="shared" si="6"/>
        <v>9</v>
      </c>
    </row>
    <row r="427" spans="1:3" x14ac:dyDescent="0.3">
      <c r="A427" t="s">
        <v>2820</v>
      </c>
      <c r="B427">
        <v>208</v>
      </c>
      <c r="C427">
        <f t="shared" si="6"/>
        <v>4</v>
      </c>
    </row>
    <row r="428" spans="1:3" ht="129.6" x14ac:dyDescent="0.3">
      <c r="A428" s="1" t="s">
        <v>2842</v>
      </c>
      <c r="B428">
        <v>206</v>
      </c>
      <c r="C428">
        <f t="shared" si="6"/>
        <v>1</v>
      </c>
    </row>
    <row r="429" spans="1:3" ht="172.8" x14ac:dyDescent="0.3">
      <c r="A429" s="1" t="s">
        <v>2854</v>
      </c>
      <c r="B429">
        <v>205</v>
      </c>
      <c r="C429">
        <f t="shared" si="6"/>
        <v>6</v>
      </c>
    </row>
    <row r="430" spans="1:3" x14ac:dyDescent="0.3">
      <c r="A430" t="s">
        <v>2862</v>
      </c>
      <c r="B430">
        <v>202</v>
      </c>
      <c r="C430">
        <f t="shared" si="6"/>
        <v>3</v>
      </c>
    </row>
    <row r="431" spans="1:3" ht="409.6" x14ac:dyDescent="0.3">
      <c r="A431" s="1" t="s">
        <v>2866</v>
      </c>
      <c r="B431">
        <v>202</v>
      </c>
      <c r="C431">
        <f t="shared" si="6"/>
        <v>1</v>
      </c>
    </row>
    <row r="432" spans="1:3" x14ac:dyDescent="0.3">
      <c r="A432" t="s">
        <v>2872</v>
      </c>
      <c r="B432">
        <v>202</v>
      </c>
      <c r="C432">
        <f t="shared" si="6"/>
        <v>3</v>
      </c>
    </row>
    <row r="433" spans="1:3" x14ac:dyDescent="0.3">
      <c r="A433" t="s">
        <v>2877</v>
      </c>
      <c r="B433">
        <v>202</v>
      </c>
      <c r="C433">
        <f t="shared" si="6"/>
        <v>12</v>
      </c>
    </row>
    <row r="434" spans="1:3" x14ac:dyDescent="0.3">
      <c r="A434" t="s">
        <v>2890</v>
      </c>
      <c r="B434">
        <v>201</v>
      </c>
      <c r="C434">
        <f t="shared" si="6"/>
        <v>5</v>
      </c>
    </row>
    <row r="435" spans="1:3" x14ac:dyDescent="0.3">
      <c r="A435" t="s">
        <v>2895</v>
      </c>
      <c r="B435">
        <v>201</v>
      </c>
      <c r="C435">
        <f t="shared" si="6"/>
        <v>17</v>
      </c>
    </row>
    <row r="436" spans="1:3" x14ac:dyDescent="0.3">
      <c r="A436" t="s">
        <v>2900</v>
      </c>
      <c r="B436">
        <v>201</v>
      </c>
      <c r="C436">
        <f t="shared" si="6"/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2AF70-47F7-4FE5-B4EB-F25D0C56FF2E}">
  <dimension ref="A1"/>
  <sheetViews>
    <sheetView workbookViewId="0">
      <selection sqref="A1:A43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users (1)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Harsha Chowdary</dc:creator>
  <cp:lastModifiedBy>Harsha Chowdary</cp:lastModifiedBy>
  <dcterms:created xsi:type="dcterms:W3CDTF">2024-10-31T17:29:35Z</dcterms:created>
  <dcterms:modified xsi:type="dcterms:W3CDTF">2024-10-31T18:14:05Z</dcterms:modified>
</cp:coreProperties>
</file>